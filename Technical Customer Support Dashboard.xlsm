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mc:AlternateContent xmlns:mc="http://schemas.openxmlformats.org/markup-compatibility/2006">
    <mc:Choice Requires="x15">
      <x15ac:absPath xmlns:x15ac="http://schemas.microsoft.com/office/spreadsheetml/2010/11/ac" url="C:\Users\danny\Desktop\EXCEL\PROJEKTY\Technical customer support\"/>
    </mc:Choice>
  </mc:AlternateContent>
  <xr:revisionPtr revIDLastSave="0" documentId="13_ncr:1_{C54DDF5C-0EE5-43CA-A0F8-5870E58C84AB}" xr6:coauthVersionLast="47" xr6:coauthVersionMax="47" xr10:uidLastSave="{00000000-0000-0000-0000-000000000000}"/>
  <bookViews>
    <workbookView xWindow="28680" yWindow="-120" windowWidth="29040" windowHeight="15840" xr2:uid="{7D601FF0-EB8B-4107-8540-5A3B4CC6DEFA}"/>
  </bookViews>
  <sheets>
    <sheet name="Dashboard" sheetId="1" r:id="rId1"/>
    <sheet name="RawData" sheetId="2" r:id="rId2"/>
    <sheet name="Calculation" sheetId="3" r:id="rId3"/>
  </sheets>
  <definedNames>
    <definedName name="chart">INDIRECT(Calculation!$A$5)</definedName>
    <definedName name="ExternalData_1" localSheetId="1" hidden="1">RawData!$A$1:$I$24</definedName>
    <definedName name="Slicer_Category1">#N/A</definedName>
    <definedName name="TotalCases_chart">Calculation!$D$34</definedName>
    <definedName name="Warranty_chart">Calculation!$D$55</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0" i="3" l="1"/>
  <c r="L11" i="3"/>
  <c r="L9" i="3"/>
  <c r="A5" i="3"/>
  <c r="K10" i="3"/>
  <c r="K11" i="3"/>
  <c r="K9" i="3"/>
  <c r="J10" i="3"/>
  <c r="J11" i="3"/>
  <c r="J9" i="3"/>
  <c r="I10" i="3"/>
  <c r="I11" i="3"/>
  <c r="I9" i="3"/>
  <c r="H8" i="3"/>
  <c r="H11" i="3" s="1"/>
  <c r="H10" i="3" l="1"/>
  <c r="H9" i="3"/>
  <c r="I4" i="3"/>
  <c r="N4" i="3"/>
  <c r="L4" i="3"/>
  <c r="M4" i="3"/>
  <c r="K4" i="3"/>
  <c r="J4" i="3"/>
  <c r="H4" i="3"/>
  <c r="O4"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E68B18C-8587-484E-830D-5A27C241A745}" keepAlive="1" name="Query - technical_support_data" description="Connection to the 'technical_support_data' query in the workbook." type="5" refreshedVersion="7" background="1" saveData="1">
    <dbPr connection="Provider=Microsoft.Mashup.OleDb.1;Data Source=$Workbook$;Location=technical_support_data;Extended Properties=&quot;&quot;" command="SELECT * FROM [technical_support_data]"/>
  </connection>
  <connection id="2" xr16:uid="{FBC7C7CD-14BB-4D52-A726-290BAB12039F}" keepAlive="1" name="Query - technical_support_data (2)" description="Connection to the 'technical_support_data (2)' query in the workbook." type="5" refreshedVersion="0" background="1">
    <dbPr connection="Provider=Microsoft.Mashup.OleDb.1;Data Source=$Workbook$;Location=&quot;technical_support_data (2)&quot;;Extended Properties=&quot;&quot;" command="SELECT * FROM [technical_support_data (2)]"/>
  </connection>
</connections>
</file>

<file path=xl/sharedStrings.xml><?xml version="1.0" encoding="utf-8"?>
<sst xmlns="http://schemas.openxmlformats.org/spreadsheetml/2006/main" count="124" uniqueCount="63">
  <si>
    <t>PROBLEM_TYPE</t>
  </si>
  <si>
    <t>no_of_cases</t>
  </si>
  <si>
    <t>Avg_pending_calls</t>
  </si>
  <si>
    <t>Avg_resol_time</t>
  </si>
  <si>
    <t>recurrence_freq</t>
  </si>
  <si>
    <t>Replace_percent</t>
  </si>
  <si>
    <t>In_warranty_percent</t>
  </si>
  <si>
    <t>Post_warranty_percent</t>
  </si>
  <si>
    <t>Temperature control not working</t>
  </si>
  <si>
    <t>0</t>
  </si>
  <si>
    <t>2</t>
  </si>
  <si>
    <t>Fan swing not working</t>
  </si>
  <si>
    <t>1</t>
  </si>
  <si>
    <t>Main switch does not on</t>
  </si>
  <si>
    <t>Forgot mobile app password</t>
  </si>
  <si>
    <t>AC stops abruptly</t>
  </si>
  <si>
    <t>App hangs while entring commands</t>
  </si>
  <si>
    <t>4</t>
  </si>
  <si>
    <t>App takes a long time to initialize</t>
  </si>
  <si>
    <t>Unable to connect the App to the device</t>
  </si>
  <si>
    <t>Reinstalling the app hangs the phone</t>
  </si>
  <si>
    <t>Mobile screen blanks on use of phone</t>
  </si>
  <si>
    <t>Cluttered with popup messages</t>
  </si>
  <si>
    <t>AC controller sofware missing</t>
  </si>
  <si>
    <t>AC remote does not  work</t>
  </si>
  <si>
    <t xml:space="preserve">Remote Keys get stuck </t>
  </si>
  <si>
    <t>Unable to operate menu from remote</t>
  </si>
  <si>
    <t xml:space="preserve">Motor noise from the system </t>
  </si>
  <si>
    <t xml:space="preserve">Freshner holder stuck </t>
  </si>
  <si>
    <t>Factory settings not working</t>
  </si>
  <si>
    <t xml:space="preserve">WIFI connectivity breaks </t>
  </si>
  <si>
    <t>Battery backup does not get fully charged</t>
  </si>
  <si>
    <t>Battery does not last full 8 hrs</t>
  </si>
  <si>
    <t>Fan speed varies at on its own</t>
  </si>
  <si>
    <t>Category</t>
  </si>
  <si>
    <t>Device</t>
  </si>
  <si>
    <t>App</t>
  </si>
  <si>
    <t>Remote</t>
  </si>
  <si>
    <t>Row Labels</t>
  </si>
  <si>
    <t>Overall Support Performance</t>
  </si>
  <si>
    <t>No of cases</t>
  </si>
  <si>
    <t>Avg pending calls</t>
  </si>
  <si>
    <t>recurrence freqency</t>
  </si>
  <si>
    <t>Avg resolve time</t>
  </si>
  <si>
    <t>Replace percent</t>
  </si>
  <si>
    <t>In warranty percent</t>
  </si>
  <si>
    <t>Post warranty percent</t>
  </si>
  <si>
    <t>Total</t>
  </si>
  <si>
    <t>overall workload</t>
  </si>
  <si>
    <t>Pie chart Selector</t>
  </si>
  <si>
    <t>Pie Chart Data</t>
  </si>
  <si>
    <t>selected:</t>
  </si>
  <si>
    <t>value:</t>
  </si>
  <si>
    <t>case:</t>
  </si>
  <si>
    <t>Sum of no_of_cases</t>
  </si>
  <si>
    <t>Sum of Avg_resol_time</t>
  </si>
  <si>
    <t>Sum of In_warranty_percent</t>
  </si>
  <si>
    <t>Sum of Post_warranty_percent</t>
  </si>
  <si>
    <t>Selectors</t>
  </si>
  <si>
    <t>Camera control</t>
  </si>
  <si>
    <t>reocured_cases</t>
  </si>
  <si>
    <t>recurrence_cases</t>
  </si>
  <si>
    <t>Power chord does not tightly 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</si>
</sst>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4" x14ac:knownFonts="1">
    <font>
      <sz val="11"/>
      <color theme="1"/>
      <name val="Calibri"/>
      <family val="2"/>
      <charset val="238"/>
      <scheme val="minor"/>
    </font>
    <font>
      <b/>
      <sz val="11"/>
      <color theme="1"/>
      <name val="Calibri"/>
      <family val="2"/>
      <charset val="238"/>
      <scheme val="minor"/>
    </font>
    <font>
      <sz val="8"/>
      <color rgb="FF000000"/>
      <name val="Segoe UI"/>
      <family val="2"/>
      <charset val="238"/>
    </font>
    <font>
      <sz val="9"/>
      <color theme="1"/>
      <name val="Calibri"/>
      <family val="2"/>
      <charset val="238"/>
      <scheme val="minor"/>
    </font>
  </fonts>
  <fills count="4">
    <fill>
      <patternFill patternType="none"/>
    </fill>
    <fill>
      <patternFill patternType="gray125"/>
    </fill>
    <fill>
      <patternFill patternType="solid">
        <fgColor theme="0" tint="-0.14999847407452621"/>
        <bgColor indexed="64"/>
      </patternFill>
    </fill>
    <fill>
      <patternFill patternType="solid">
        <fgColor theme="8"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diagonal/>
    </border>
    <border>
      <left/>
      <right/>
      <top/>
      <bottom style="medium">
        <color indexed="64"/>
      </bottom>
      <diagonal/>
    </border>
    <border>
      <left style="thin">
        <color theme="1"/>
      </left>
      <right style="thin">
        <color theme="1"/>
      </right>
      <top/>
      <bottom style="medium">
        <color indexed="64"/>
      </bottom>
      <diagonal/>
    </border>
  </borders>
  <cellStyleXfs count="1">
    <xf numFmtId="0" fontId="0" fillId="0" borderId="0"/>
  </cellStyleXfs>
  <cellXfs count="33">
    <xf numFmtId="0" fontId="0" fillId="0" borderId="0" xfId="0"/>
    <xf numFmtId="0" fontId="0" fillId="0" borderId="0" xfId="0" applyNumberFormat="1"/>
    <xf numFmtId="0" fontId="0" fillId="2" borderId="0" xfId="0" applyFill="1"/>
    <xf numFmtId="0" fontId="0" fillId="0" borderId="0" xfId="0" pivotButton="1"/>
    <xf numFmtId="2" fontId="0" fillId="0" borderId="0" xfId="0" applyNumberFormat="1"/>
    <xf numFmtId="1" fontId="0" fillId="0" borderId="0" xfId="0" applyNumberFormat="1"/>
    <xf numFmtId="0" fontId="1" fillId="0" borderId="2" xfId="0" applyFont="1" applyBorder="1"/>
    <xf numFmtId="0" fontId="0" fillId="0" borderId="3" xfId="0" applyBorder="1"/>
    <xf numFmtId="1" fontId="0" fillId="0" borderId="3" xfId="0" applyNumberFormat="1" applyBorder="1"/>
    <xf numFmtId="2" fontId="0" fillId="0" borderId="3" xfId="0" applyNumberFormat="1" applyBorder="1"/>
    <xf numFmtId="1" fontId="0" fillId="0" borderId="0" xfId="0" applyNumberFormat="1" applyFill="1" applyBorder="1"/>
    <xf numFmtId="2" fontId="0" fillId="0" borderId="0" xfId="0" applyNumberFormat="1" applyAlignment="1">
      <alignment horizontal="right"/>
    </xf>
    <xf numFmtId="1" fontId="0" fillId="0" borderId="0" xfId="0" applyNumberFormat="1" applyAlignment="1">
      <alignment horizontal="right"/>
    </xf>
    <xf numFmtId="0" fontId="0" fillId="0" borderId="0" xfId="0" applyBorder="1"/>
    <xf numFmtId="0" fontId="1" fillId="0" borderId="0" xfId="0" applyFont="1"/>
    <xf numFmtId="0" fontId="0" fillId="0" borderId="0" xfId="0" applyFont="1" applyBorder="1"/>
    <xf numFmtId="164" fontId="0" fillId="0" borderId="0" xfId="0" applyNumberFormat="1" applyBorder="1"/>
    <xf numFmtId="1" fontId="0" fillId="0" borderId="0" xfId="0" applyNumberFormat="1" applyBorder="1"/>
    <xf numFmtId="2" fontId="0" fillId="0" borderId="0" xfId="0" applyNumberFormat="1" applyBorder="1"/>
    <xf numFmtId="0" fontId="0" fillId="2" borderId="0" xfId="0" applyFill="1" applyAlignment="1">
      <alignment horizontal="left"/>
    </xf>
    <xf numFmtId="0" fontId="0" fillId="0" borderId="0" xfId="0" applyAlignment="1">
      <alignment horizontal="left"/>
    </xf>
    <xf numFmtId="0" fontId="0" fillId="0" borderId="1" xfId="0" applyBorder="1"/>
    <xf numFmtId="0" fontId="0" fillId="0" borderId="1" xfId="0" applyFont="1" applyBorder="1"/>
    <xf numFmtId="0" fontId="0" fillId="0" borderId="4" xfId="0" applyBorder="1"/>
    <xf numFmtId="0" fontId="0" fillId="0" borderId="5" xfId="0" applyBorder="1"/>
    <xf numFmtId="164" fontId="0" fillId="0" borderId="5" xfId="0" applyNumberFormat="1" applyBorder="1"/>
    <xf numFmtId="1" fontId="0" fillId="0" borderId="5" xfId="0" applyNumberFormat="1" applyBorder="1"/>
    <xf numFmtId="2" fontId="0" fillId="0" borderId="5" xfId="0" applyNumberFormat="1" applyBorder="1"/>
    <xf numFmtId="1" fontId="0" fillId="0" borderId="4" xfId="0" applyNumberFormat="1" applyBorder="1"/>
    <xf numFmtId="0" fontId="0" fillId="0" borderId="0" xfId="0" applyFill="1"/>
    <xf numFmtId="0" fontId="3" fillId="0" borderId="0" xfId="0" applyFont="1" applyFill="1"/>
    <xf numFmtId="0" fontId="0" fillId="3" borderId="0" xfId="0" applyFill="1" applyAlignment="1">
      <alignment horizontal="left"/>
    </xf>
    <xf numFmtId="0" fontId="0" fillId="3" borderId="0" xfId="0" applyFill="1"/>
  </cellXfs>
  <cellStyles count="1">
    <cellStyle name="Normal" xfId="0" builtinId="0"/>
  </cellStyles>
  <dxfs count="16">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2" formatCode="0.00"/>
      <alignment horizontal="right" vertical="bottom" textRotation="0" wrapText="0" indent="0" justifyLastLine="0" shrinkToFit="0" readingOrder="0"/>
    </dxf>
    <dxf>
      <numFmt numFmtId="2" formatCode="0.0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2" formatCode="0.0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0" formatCode="General"/>
    </dxf>
    <dxf>
      <numFmt numFmtId="0" formatCode="General"/>
    </dxf>
    <dxf>
      <font>
        <b/>
      </font>
    </dxf>
    <dxf>
      <font>
        <b/>
        <color theme="1"/>
      </font>
      <border>
        <bottom style="thin">
          <color theme="4"/>
        </bottom>
        <vertical/>
        <horizontal/>
      </border>
    </dxf>
    <dxf>
      <font>
        <color theme="1"/>
      </font>
      <fill>
        <patternFill patternType="none">
          <bgColor auto="1"/>
        </patternFill>
      </fill>
      <border diagonalUp="0" diagonalDown="0">
        <left/>
        <right/>
        <top/>
        <bottom/>
        <vertical/>
        <horizontal/>
      </border>
    </dxf>
    <dxf>
      <font>
        <b/>
        <color theme="1"/>
      </font>
      <border>
        <bottom style="thin">
          <color theme="4"/>
        </bottom>
        <vertical/>
        <horizontal/>
      </border>
    </dxf>
    <dxf>
      <font>
        <color theme="1"/>
        <name val="Arial"/>
        <family val="2"/>
        <charset val="238"/>
        <scheme val="none"/>
      </font>
      <border diagonalUp="0" diagonalDown="0">
        <left/>
        <right/>
        <top/>
        <bottom/>
        <vertical/>
        <horizontal/>
      </border>
    </dxf>
    <dxf>
      <font>
        <b/>
        <color theme="1"/>
      </font>
      <border>
        <bottom style="thin">
          <color theme="4"/>
        </bottom>
        <vertical/>
        <horizontal/>
      </border>
    </dxf>
    <dxf>
      <font>
        <color theme="1"/>
      </font>
      <fill>
        <patternFill patternType="none">
          <bgColor auto="1"/>
        </patternFill>
      </fill>
      <border diagonalUp="0" diagonalDown="0">
        <left/>
        <right/>
        <top/>
        <bottom/>
        <vertical/>
        <horizontal/>
      </border>
    </dxf>
  </dxfs>
  <tableStyles count="3" defaultTableStyle="TableStyleMedium2" defaultPivotStyle="PivotStyleLight16">
    <tableStyle name="SlicerStyleDark1 2" pivot="0" table="0" count="10" xr9:uid="{1BDAD03B-B124-4CF1-928E-0254FD989CBB}">
      <tableStyleElement type="wholeTable" dxfId="15"/>
      <tableStyleElement type="headerRow" dxfId="14"/>
    </tableStyle>
    <tableStyle name="SlicerStyleDark1 3" pivot="0" table="0" count="10" xr9:uid="{3493A599-A59D-47C5-965C-D09DDBB8B698}">
      <tableStyleElement type="wholeTable" dxfId="13"/>
      <tableStyleElement type="headerRow" dxfId="12"/>
    </tableStyle>
    <tableStyle name="SlicerStyleLight1 2" pivot="0" table="0" count="10" xr9:uid="{792806D6-97FB-4834-BEF4-82A1FDDED3AB}">
      <tableStyleElement type="wholeTable" dxfId="11"/>
      <tableStyleElement type="headerRow" dxfId="10"/>
    </tableStyle>
  </tableStyles>
  <colors>
    <mruColors>
      <color rgb="FFD3D2DD"/>
      <color rgb="FFB5CCD2"/>
    </mruColors>
  </colors>
  <extLst>
    <ext xmlns:x14="http://schemas.microsoft.com/office/spreadsheetml/2009/9/main" uri="{46F421CA-312F-682f-3DD2-61675219B42D}">
      <x14:dxfs count="24">
        <dxf>
          <font>
            <color rgb="FF000000"/>
          </font>
          <fill>
            <patternFill>
              <bgColor theme="7"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7" tint="0.59996337778862885"/>
            </patternFill>
          </fill>
          <border>
            <left style="thin">
              <color rgb="FF999999"/>
            </left>
            <right style="thin">
              <color rgb="FF999999"/>
            </right>
            <top style="thin">
              <color rgb="FF999999"/>
            </top>
            <bottom style="thin">
              <color rgb="FF999999"/>
            </bottom>
            <vertical/>
            <horizontal/>
          </border>
        </dxf>
        <dxf>
          <font>
            <color rgb="FF000000"/>
          </font>
          <fill>
            <patternFill>
              <bgColor theme="7"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bgColor theme="7" tint="0.599963377788628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270">
              <stop position="0">
                <color theme="0"/>
              </stop>
              <stop position="1">
                <color theme="3" tint="0.80001220740379042"/>
              </stop>
            </gradientFill>
          </fill>
          <border diagonalUp="0" diagonalDown="0">
            <left/>
            <right/>
            <top/>
            <bottom/>
            <vertical/>
            <horizontal/>
          </border>
        </dxf>
        <dxf>
          <font>
            <color rgb="FF000000"/>
          </font>
          <fill>
            <gradientFill degree="270">
              <stop position="0">
                <color theme="0"/>
              </stop>
              <stop position="1">
                <color theme="3" tint="0.80001220740379042"/>
              </stop>
            </gradientFill>
          </fill>
          <border diagonalUp="0" diagonalDown="0">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3" tint="0.80001220740379042"/>
              </stop>
            </gradientFill>
          </fill>
          <border diagonalUp="0" diagonalDown="0">
            <left/>
            <right/>
            <top/>
            <bottom/>
            <vertical/>
            <horizontal/>
          </border>
        </dxf>
        <dxf>
          <font>
            <color rgb="FF000000"/>
          </font>
          <fill>
            <gradientFill degree="270">
              <stop position="0">
                <color theme="0"/>
              </stop>
              <stop position="1">
                <color theme="3" tint="0.80001220740379042"/>
              </stop>
            </gradientFill>
          </fill>
          <border diagonalUp="0" diagonalDown="0">
            <left style="thin">
              <color auto="1"/>
            </left>
            <right style="thin">
              <color auto="1"/>
            </right>
            <top style="thin">
              <color auto="1"/>
            </top>
            <bottom style="thin">
              <color auto="1"/>
            </bottom>
            <vertical/>
            <horizontal/>
          </border>
        </dxf>
        <dxf>
          <font>
            <color theme="4" tint="-0.249977111117893"/>
          </font>
          <fill>
            <patternFill patternType="solid">
              <fgColor theme="4" tint="0.59999389629810485"/>
              <bgColor theme="4" tint="0.59999389629810485"/>
            </patternFill>
          </fill>
          <border diagonalUp="0" diagonalDown="0">
            <left/>
            <right/>
            <top/>
            <bottom/>
            <vertical/>
            <horizontal/>
          </border>
        </dxf>
        <dxf>
          <font>
            <color theme="0"/>
          </font>
          <fill>
            <patternFill patternType="solid">
              <fgColor theme="4"/>
              <bgColor theme="3"/>
            </patternFill>
          </fill>
          <border diagonalUp="0" diagonalDown="0">
            <left/>
            <right/>
            <top/>
            <bottom/>
            <vertical/>
            <horizontal/>
          </border>
        </dxf>
        <dxf>
          <font>
            <color rgb="FF959595"/>
          </font>
          <fill>
            <patternFill patternType="solid">
              <fgColor rgb="FFDFDFDF"/>
              <bgColor rgb="FFDFDFDF"/>
            </patternFill>
          </fill>
          <border diagonalUp="0" diagonalDown="0">
            <left/>
            <right/>
            <top/>
            <bottom/>
            <vertical/>
            <horizontal/>
          </border>
        </dxf>
        <dxf>
          <font>
            <color rgb="FF000000"/>
          </font>
          <fill>
            <patternFill patternType="solid">
              <fgColor rgb="FFC0C0C0"/>
              <bgColor rgb="FFC0C0C0"/>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2">
        <x14:slicerStyle name="SlicerStyleDark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1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470720886620994"/>
          <c:y val="6.1336252029682688E-2"/>
          <c:w val="0.59039352028156789"/>
          <c:h val="0.9180912383467128"/>
        </c:manualLayout>
      </c:layout>
      <c:pieChart>
        <c:varyColors val="1"/>
        <c:ser>
          <c:idx val="0"/>
          <c:order val="0"/>
          <c:dPt>
            <c:idx val="0"/>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01-0C18-4202-BCFB-DF3C289E2962}"/>
              </c:ext>
            </c:extLst>
          </c:dPt>
          <c:dPt>
            <c:idx val="1"/>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03-0C18-4202-BCFB-DF3C289E2962}"/>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0C18-4202-BCFB-DF3C289E2962}"/>
              </c:ext>
            </c:extLst>
          </c:dPt>
          <c:dLbls>
            <c:dLbl>
              <c:idx val="1"/>
              <c:dLblPos val="ct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C18-4202-BCFB-DF3C289E2962}"/>
                </c:ext>
              </c:extLst>
            </c:dLbl>
            <c:numFmt formatCode="General" sourceLinked="0"/>
            <c:spPr>
              <a:noFill/>
              <a:ln>
                <a:noFill/>
              </a:ln>
              <a:effectLst/>
            </c:spPr>
            <c:txPr>
              <a:bodyPr rot="0" spcFirstLastPara="1" vertOverflow="overflow" horzOverflow="overflow" vert="horz" wrap="square" lIns="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pl-PL"/>
              </a:p>
            </c:txPr>
            <c:dLblPos val="ctr"/>
            <c:showLegendKey val="0"/>
            <c:showVal val="0"/>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ext>
            </c:extLst>
          </c:dLbls>
          <c:cat>
            <c:strRef>
              <c:f>Calculation!$G$9:$G$11</c:f>
              <c:strCache>
                <c:ptCount val="3"/>
                <c:pt idx="0">
                  <c:v>App</c:v>
                </c:pt>
                <c:pt idx="1">
                  <c:v>Device</c:v>
                </c:pt>
                <c:pt idx="2">
                  <c:v>Remote</c:v>
                </c:pt>
              </c:strCache>
            </c:strRef>
          </c:cat>
          <c:val>
            <c:numRef>
              <c:f>Calculation!$H$9:$H$11</c:f>
              <c:numCache>
                <c:formatCode>0</c:formatCode>
                <c:ptCount val="3"/>
                <c:pt idx="0">
                  <c:v>91.148571428571429</c:v>
                </c:pt>
                <c:pt idx="1">
                  <c:v>136.39100000000002</c:v>
                </c:pt>
                <c:pt idx="2">
                  <c:v>264.39</c:v>
                </c:pt>
              </c:numCache>
            </c:numRef>
          </c:val>
          <c:extLst>
            <c:ext xmlns:c16="http://schemas.microsoft.com/office/drawing/2014/chart" uri="{C3380CC4-5D6E-409C-BE32-E72D297353CC}">
              <c16:uniqueId val="{00000006-0C18-4202-BCFB-DF3C289E2962}"/>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l-P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[technical customer support.xlsm]Calculation!sum_avg_PT</c:name>
    <c:fmtId val="2"/>
  </c:pivotSource>
  <c:chart>
    <c:autoTitleDeleted val="0"/>
    <c:pivotFmts>
      <c:pivotFmt>
        <c:idx val="0"/>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l-P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l-P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s>
    <c:plotArea>
      <c:layout>
        <c:manualLayout>
          <c:layoutTarget val="inner"/>
          <c:xMode val="edge"/>
          <c:yMode val="edge"/>
          <c:x val="0.30590030864197532"/>
          <c:y val="9.8679599220481418E-2"/>
          <c:w val="0.68046836419753076"/>
          <c:h val="0.87988306778538705"/>
        </c:manualLayout>
      </c:layout>
      <c:barChart>
        <c:barDir val="bar"/>
        <c:grouping val="clustered"/>
        <c:varyColors val="0"/>
        <c:ser>
          <c:idx val="0"/>
          <c:order val="0"/>
          <c:tx>
            <c:strRef>
              <c:f>Calculation!$B$19</c:f>
              <c:strCache>
                <c:ptCount val="1"/>
                <c:pt idx="0">
                  <c:v>Sum of Avg_resol_time</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l-P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Calculation!$A$20:$A$25</c:f>
              <c:strCache>
                <c:ptCount val="6"/>
                <c:pt idx="0">
                  <c:v>AC controller sofware missing</c:v>
                </c:pt>
                <c:pt idx="1">
                  <c:v>AC remote does not  work</c:v>
                </c:pt>
                <c:pt idx="2">
                  <c:v>Battery backup does not get fully charged</c:v>
                </c:pt>
                <c:pt idx="3">
                  <c:v>Battery does not last full 8 hrs</c:v>
                </c:pt>
                <c:pt idx="4">
                  <c:v>Remote Keys get stuck </c:v>
                </c:pt>
                <c:pt idx="5">
                  <c:v>Unable to operate menu from remote</c:v>
                </c:pt>
              </c:strCache>
            </c:strRef>
          </c:cat>
          <c:val>
            <c:numRef>
              <c:f>Calculation!$B$20:$B$25</c:f>
              <c:numCache>
                <c:formatCode>General</c:formatCode>
                <c:ptCount val="6"/>
                <c:pt idx="0">
                  <c:v>33</c:v>
                </c:pt>
                <c:pt idx="1">
                  <c:v>180</c:v>
                </c:pt>
                <c:pt idx="2">
                  <c:v>45</c:v>
                </c:pt>
                <c:pt idx="3">
                  <c:v>56</c:v>
                </c:pt>
                <c:pt idx="4">
                  <c:v>8</c:v>
                </c:pt>
                <c:pt idx="5">
                  <c:v>7</c:v>
                </c:pt>
              </c:numCache>
            </c:numRef>
          </c:val>
          <c:extLst>
            <c:ext xmlns:c16="http://schemas.microsoft.com/office/drawing/2014/chart" uri="{C3380CC4-5D6E-409C-BE32-E72D297353CC}">
              <c16:uniqueId val="{00000000-3DE5-4580-9999-1F7A2601A2DE}"/>
            </c:ext>
          </c:extLst>
        </c:ser>
        <c:ser>
          <c:idx val="1"/>
          <c:order val="1"/>
          <c:tx>
            <c:strRef>
              <c:f>Calculation!$C$19</c:f>
              <c:strCache>
                <c:ptCount val="1"/>
                <c:pt idx="0">
                  <c:v>Sum of no_of_cases</c:v>
                </c:pt>
              </c:strCache>
            </c:strRef>
          </c:tx>
          <c:spPr>
            <a:solidFill>
              <a:schemeClr val="tx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l-P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Calculation!$A$20:$A$25</c:f>
              <c:strCache>
                <c:ptCount val="6"/>
                <c:pt idx="0">
                  <c:v>AC controller sofware missing</c:v>
                </c:pt>
                <c:pt idx="1">
                  <c:v>AC remote does not  work</c:v>
                </c:pt>
                <c:pt idx="2">
                  <c:v>Battery backup does not get fully charged</c:v>
                </c:pt>
                <c:pt idx="3">
                  <c:v>Battery does not last full 8 hrs</c:v>
                </c:pt>
                <c:pt idx="4">
                  <c:v>Remote Keys get stuck </c:v>
                </c:pt>
                <c:pt idx="5">
                  <c:v>Unable to operate menu from remote</c:v>
                </c:pt>
              </c:strCache>
            </c:strRef>
          </c:cat>
          <c:val>
            <c:numRef>
              <c:f>Calculation!$C$20:$C$25</c:f>
              <c:numCache>
                <c:formatCode>General</c:formatCode>
                <c:ptCount val="6"/>
                <c:pt idx="0">
                  <c:v>193</c:v>
                </c:pt>
                <c:pt idx="1">
                  <c:v>24</c:v>
                </c:pt>
                <c:pt idx="2">
                  <c:v>29</c:v>
                </c:pt>
                <c:pt idx="3">
                  <c:v>43</c:v>
                </c:pt>
                <c:pt idx="4">
                  <c:v>450</c:v>
                </c:pt>
                <c:pt idx="5">
                  <c:v>520</c:v>
                </c:pt>
              </c:numCache>
            </c:numRef>
          </c:val>
          <c:extLst>
            <c:ext xmlns:c16="http://schemas.microsoft.com/office/drawing/2014/chart" uri="{C3380CC4-5D6E-409C-BE32-E72D297353CC}">
              <c16:uniqueId val="{00000001-3DE5-4580-9999-1F7A2601A2DE}"/>
            </c:ext>
          </c:extLst>
        </c:ser>
        <c:dLbls>
          <c:showLegendKey val="0"/>
          <c:showVal val="0"/>
          <c:showCatName val="0"/>
          <c:showSerName val="0"/>
          <c:showPercent val="0"/>
          <c:showBubbleSize val="0"/>
        </c:dLbls>
        <c:gapWidth val="50"/>
        <c:axId val="918910264"/>
        <c:axId val="918907968"/>
      </c:barChart>
      <c:catAx>
        <c:axId val="9189102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l-PL"/>
          </a:p>
        </c:txPr>
        <c:crossAx val="918907968"/>
        <c:crosses val="autoZero"/>
        <c:auto val="1"/>
        <c:lblAlgn val="ctr"/>
        <c:lblOffset val="100"/>
        <c:noMultiLvlLbl val="0"/>
      </c:catAx>
      <c:valAx>
        <c:axId val="918907968"/>
        <c:scaling>
          <c:orientation val="minMax"/>
        </c:scaling>
        <c:delete val="1"/>
        <c:axPos val="b"/>
        <c:numFmt formatCode="General" sourceLinked="1"/>
        <c:majorTickMark val="none"/>
        <c:minorTickMark val="none"/>
        <c:tickLblPos val="nextTo"/>
        <c:crossAx val="918910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l-PL"/>
    </a:p>
  </c:txPr>
  <c:printSettings>
    <c:headerFooter/>
    <c:pageMargins b="0.75" l="0.7" r="0.7" t="0.75" header="0.3" footer="0.3"/>
    <c:pageSetup/>
  </c:printSettings>
  <c:userShapes r:id="rId3"/>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[technical customer support.xlsm]Calculation!warranty_PT</c:name>
    <c:fmtId val="1"/>
  </c:pivotSource>
  <c:chart>
    <c:autoTitleDeleted val="0"/>
    <c:pivotFmts>
      <c:pivotFmt>
        <c:idx val="0"/>
        <c:spPr>
          <a:solidFill>
            <a:schemeClr val="tx2"/>
          </a:solidFill>
          <a:ln>
            <a:noFill/>
          </a:ln>
          <a:effectLst/>
        </c:spPr>
        <c:marker>
          <c:symbol val="none"/>
        </c:marker>
        <c:dLbl>
          <c:idx val="0"/>
          <c:numFmt formatCode="#\%" sourceLinked="0"/>
          <c:spPr>
            <a:noFill/>
            <a:ln>
              <a:noFill/>
            </a:ln>
            <a:effectLst/>
          </c:spPr>
          <c:txPr>
            <a:bodyPr rot="0" spcFirstLastPara="1" vertOverflow="overflow" horzOverflow="overflow" vert="horz" wrap="square" lIns="36000" tIns="0" rIns="38100" bIns="0" anchor="ctr" anchorCtr="1">
              <a:spAutoFit/>
            </a:bodyPr>
            <a:lstStyle/>
            <a:p>
              <a:pPr>
                <a:defRPr sz="900" b="0" i="0" u="none" strike="noStrike" kern="1200" baseline="0">
                  <a:solidFill>
                    <a:schemeClr val="bg1"/>
                  </a:solidFill>
                  <a:latin typeface="Arial" panose="020B0604020202020204" pitchFamily="34" charset="0"/>
                  <a:ea typeface="+mn-ea"/>
                  <a:cs typeface="Arial" panose="020B0604020202020204" pitchFamily="34" charset="0"/>
                </a:defRPr>
              </a:pPr>
              <a:endParaRPr lang="pl-PL"/>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solidFill>
            <a:schemeClr val="accent4">
              <a:lumMod val="60000"/>
              <a:lumOff val="40000"/>
            </a:schemeClr>
          </a:solidFill>
          <a:ln>
            <a:noFill/>
          </a:ln>
          <a:effectLst/>
        </c:spPr>
        <c:marker>
          <c:symbol val="none"/>
        </c:marker>
        <c:dLbl>
          <c:idx val="0"/>
          <c:numFmt formatCode="#\%" sourceLinked="0"/>
          <c:spPr>
            <a:noFill/>
            <a:ln>
              <a:noFill/>
            </a:ln>
            <a:effectLst/>
          </c:spPr>
          <c:txPr>
            <a:bodyPr rot="0" spcFirstLastPara="1" vertOverflow="overflow" horzOverflow="overflow" vert="horz" wrap="square" lIns="72000" tIns="0" rIns="0" bIns="0" anchor="ctr" anchorCtr="1">
              <a:spAutoFit/>
            </a:bodyPr>
            <a:lstStyle/>
            <a:p>
              <a:pPr>
                <a:defRPr sz="900" b="0" i="0" u="none" strike="noStrike" kern="1200" baseline="0">
                  <a:solidFill>
                    <a:schemeClr val="bg1"/>
                  </a:solidFill>
                  <a:latin typeface="Arial" panose="020B0604020202020204" pitchFamily="34" charset="0"/>
                  <a:ea typeface="+mn-ea"/>
                  <a:cs typeface="Arial" panose="020B0604020202020204" pitchFamily="34" charset="0"/>
                </a:defRPr>
              </a:pPr>
              <a:endParaRPr lang="pl-PL"/>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spPr>
          <a:solidFill>
            <a:schemeClr val="accent4">
              <a:lumMod val="60000"/>
              <a:lumOff val="40000"/>
            </a:schemeClr>
          </a:solidFill>
          <a:ln>
            <a:noFill/>
          </a:ln>
          <a:effectLst/>
        </c:spPr>
        <c:dLbl>
          <c:idx val="0"/>
          <c:layout>
            <c:manualLayout>
              <c:x val="-4.1053105909901683E-3"/>
              <c:y val="0"/>
            </c:manualLayout>
          </c:layout>
          <c:numFmt formatCode="#\%" sourceLinked="0"/>
          <c:spPr>
            <a:noFill/>
            <a:ln>
              <a:noFill/>
            </a:ln>
            <a:effectLst/>
          </c:spPr>
          <c:txPr>
            <a:bodyPr rot="0" spcFirstLastPara="1" vertOverflow="overflow" horzOverflow="overflow" vert="horz" wrap="square" lIns="72000" tIns="0" rIns="0" bIns="0" anchor="ctr" anchorCtr="1">
              <a:spAutoFit/>
            </a:bodyPr>
            <a:lstStyle/>
            <a:p>
              <a:pPr>
                <a:defRPr sz="1000" b="0" i="0" u="none" strike="noStrike" kern="1200" baseline="0">
                  <a:solidFill>
                    <a:schemeClr val="bg1"/>
                  </a:solidFill>
                  <a:latin typeface="Arial" panose="020B0604020202020204" pitchFamily="34" charset="0"/>
                  <a:ea typeface="+mn-ea"/>
                  <a:cs typeface="Arial" panose="020B0604020202020204" pitchFamily="34" charset="0"/>
                </a:defRPr>
              </a:pPr>
              <a:endParaRPr lang="pl-PL"/>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pivotFmt>
      <c:pivotFmt>
        <c:idx val="12"/>
        <c:spPr>
          <a:solidFill>
            <a:schemeClr val="accent4">
              <a:lumMod val="60000"/>
              <a:lumOff val="40000"/>
            </a:schemeClr>
          </a:solidFill>
          <a:ln>
            <a:noFill/>
          </a:ln>
          <a:effectLst/>
        </c:spPr>
        <c:dLbl>
          <c:idx val="0"/>
          <c:layout>
            <c:manualLayout>
              <c:x val="2.0537605835948031E-3"/>
              <c:y val="-6.4675178792741559E-17"/>
            </c:manualLayout>
          </c:layout>
          <c:numFmt formatCode="#\%" sourceLinked="0"/>
          <c:spPr>
            <a:noFill/>
            <a:ln>
              <a:noFill/>
            </a:ln>
            <a:effectLst/>
          </c:spPr>
          <c:txPr>
            <a:bodyPr rot="0" spcFirstLastPara="1" vertOverflow="overflow" horzOverflow="overflow" vert="horz" wrap="square" lIns="72000" tIns="0" rIns="0" bIns="0" anchor="ctr" anchorCtr="1">
              <a:spAutoFit/>
            </a:bodyPr>
            <a:lstStyle/>
            <a:p>
              <a:pPr>
                <a:defRPr sz="1000" b="0" i="0" u="none" strike="noStrike" kern="1200" baseline="0">
                  <a:solidFill>
                    <a:schemeClr val="bg1"/>
                  </a:solidFill>
                  <a:latin typeface="Arial" panose="020B0604020202020204" pitchFamily="34" charset="0"/>
                  <a:ea typeface="+mn-ea"/>
                  <a:cs typeface="Arial" panose="020B0604020202020204" pitchFamily="34" charset="0"/>
                </a:defRPr>
              </a:pPr>
              <a:endParaRPr lang="pl-PL"/>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3"/>
      </c:pivotFmt>
      <c:pivotFmt>
        <c:idx val="14"/>
        <c:spPr>
          <a:solidFill>
            <a:schemeClr val="accent4">
              <a:lumMod val="60000"/>
              <a:lumOff val="40000"/>
            </a:schemeClr>
          </a:solidFill>
          <a:ln>
            <a:noFill/>
          </a:ln>
          <a:effectLst/>
        </c:spPr>
        <c:dLbl>
          <c:idx val="0"/>
          <c:layout>
            <c:manualLayout>
              <c:x val="-4.1053105909901683E-3"/>
              <c:y val="-3.233758939637078E-17"/>
            </c:manualLayout>
          </c:layout>
          <c:numFmt formatCode="#\%" sourceLinked="0"/>
          <c:spPr>
            <a:noFill/>
            <a:ln>
              <a:noFill/>
            </a:ln>
            <a:effectLst/>
          </c:spPr>
          <c:txPr>
            <a:bodyPr rot="0" spcFirstLastPara="1" vertOverflow="overflow" horzOverflow="overflow" vert="horz" wrap="square" lIns="72000" tIns="0" rIns="0" bIns="0" anchor="ctr" anchorCtr="1">
              <a:spAutoFit/>
            </a:bodyPr>
            <a:lstStyle/>
            <a:p>
              <a:pPr>
                <a:defRPr sz="1000" b="0" i="0" u="none" strike="noStrike" kern="1200" baseline="0">
                  <a:solidFill>
                    <a:schemeClr val="bg1"/>
                  </a:solidFill>
                  <a:latin typeface="Arial" panose="020B0604020202020204" pitchFamily="34" charset="0"/>
                  <a:ea typeface="+mn-ea"/>
                  <a:cs typeface="Arial" panose="020B0604020202020204" pitchFamily="34" charset="0"/>
                </a:defRPr>
              </a:pPr>
              <a:endParaRPr lang="pl-PL"/>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5"/>
      </c:pivotFmt>
    </c:pivotFmts>
    <c:plotArea>
      <c:layout>
        <c:manualLayout>
          <c:layoutTarget val="inner"/>
          <c:xMode val="edge"/>
          <c:yMode val="edge"/>
          <c:x val="0.30556495351289475"/>
          <c:y val="0.12569135867360484"/>
          <c:w val="0.68143163580246913"/>
          <c:h val="0.84830555555555553"/>
        </c:manualLayout>
      </c:layout>
      <c:barChart>
        <c:barDir val="bar"/>
        <c:grouping val="percentStacked"/>
        <c:varyColors val="0"/>
        <c:ser>
          <c:idx val="0"/>
          <c:order val="0"/>
          <c:tx>
            <c:strRef>
              <c:f>Calculation!$B$39</c:f>
              <c:strCache>
                <c:ptCount val="1"/>
                <c:pt idx="0">
                  <c:v>Sum of In_warranty_percent</c:v>
                </c:pt>
              </c:strCache>
            </c:strRef>
          </c:tx>
          <c:spPr>
            <a:solidFill>
              <a:schemeClr val="tx2"/>
            </a:solidFill>
            <a:ln>
              <a:noFill/>
            </a:ln>
            <a:effectLst/>
          </c:spPr>
          <c:invertIfNegative val="0"/>
          <c:dLbls>
            <c:numFmt formatCode="#\%" sourceLinked="0"/>
            <c:spPr>
              <a:noFill/>
              <a:ln>
                <a:noFill/>
              </a:ln>
              <a:effectLst/>
            </c:spPr>
            <c:txPr>
              <a:bodyPr rot="0" spcFirstLastPara="1" vertOverflow="overflow" horzOverflow="overflow" vert="horz" wrap="square" lIns="36000" tIns="0" rIns="38100" bIns="0" anchor="ctr" anchorCtr="1">
                <a:spAutoFit/>
              </a:bodyPr>
              <a:lstStyle/>
              <a:p>
                <a:pPr>
                  <a:defRPr sz="900" b="0" i="0" u="none" strike="noStrike" kern="1200" baseline="0">
                    <a:solidFill>
                      <a:schemeClr val="bg1"/>
                    </a:solidFill>
                    <a:latin typeface="Arial" panose="020B0604020202020204" pitchFamily="34" charset="0"/>
                    <a:ea typeface="+mn-ea"/>
                    <a:cs typeface="Arial" panose="020B0604020202020204" pitchFamily="34" charset="0"/>
                  </a:defRPr>
                </a:pPr>
                <a:endParaRPr lang="pl-PL"/>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Calculation!$A$40:$A$45</c:f>
              <c:strCache>
                <c:ptCount val="6"/>
                <c:pt idx="0">
                  <c:v>AC controller sofware missing</c:v>
                </c:pt>
                <c:pt idx="1">
                  <c:v>AC remote does not  work</c:v>
                </c:pt>
                <c:pt idx="2">
                  <c:v>Battery backup does not get fully charged</c:v>
                </c:pt>
                <c:pt idx="3">
                  <c:v>Battery does not last full 8 hrs</c:v>
                </c:pt>
                <c:pt idx="4">
                  <c:v>Remote Keys get stuck </c:v>
                </c:pt>
                <c:pt idx="5">
                  <c:v>Unable to operate menu from remote</c:v>
                </c:pt>
              </c:strCache>
            </c:strRef>
          </c:cat>
          <c:val>
            <c:numRef>
              <c:f>Calculation!$B$40:$B$45</c:f>
              <c:numCache>
                <c:formatCode>General</c:formatCode>
                <c:ptCount val="6"/>
                <c:pt idx="0">
                  <c:v>100</c:v>
                </c:pt>
                <c:pt idx="1">
                  <c:v>100</c:v>
                </c:pt>
                <c:pt idx="2">
                  <c:v>50</c:v>
                </c:pt>
                <c:pt idx="3">
                  <c:v>60</c:v>
                </c:pt>
                <c:pt idx="4">
                  <c:v>100</c:v>
                </c:pt>
                <c:pt idx="5">
                  <c:v>100</c:v>
                </c:pt>
              </c:numCache>
            </c:numRef>
          </c:val>
          <c:extLst>
            <c:ext xmlns:c16="http://schemas.microsoft.com/office/drawing/2014/chart" uri="{C3380CC4-5D6E-409C-BE32-E72D297353CC}">
              <c16:uniqueId val="{00000000-D015-4072-A529-A3609991EE9F}"/>
            </c:ext>
          </c:extLst>
        </c:ser>
        <c:ser>
          <c:idx val="1"/>
          <c:order val="1"/>
          <c:tx>
            <c:strRef>
              <c:f>Calculation!$C$39</c:f>
              <c:strCache>
                <c:ptCount val="1"/>
                <c:pt idx="0">
                  <c:v>Sum of Post_warranty_percent</c:v>
                </c:pt>
              </c:strCache>
            </c:strRef>
          </c:tx>
          <c:spPr>
            <a:solidFill>
              <a:schemeClr val="accent4">
                <a:lumMod val="60000"/>
                <a:lumOff val="40000"/>
              </a:schemeClr>
            </a:solidFill>
            <a:ln>
              <a:noFill/>
            </a:ln>
            <a:effectLst/>
          </c:spPr>
          <c:invertIfNegative val="0"/>
          <c:dPt>
            <c:idx val="1"/>
            <c:invertIfNegative val="0"/>
            <c:bubble3D val="0"/>
            <c:extLst>
              <c:ext xmlns:c16="http://schemas.microsoft.com/office/drawing/2014/chart" uri="{C3380CC4-5D6E-409C-BE32-E72D297353CC}">
                <c16:uniqueId val="{00000000-01C3-4340-9D2F-E14BD19687A9}"/>
              </c:ext>
            </c:extLst>
          </c:dPt>
          <c:dPt>
            <c:idx val="3"/>
            <c:invertIfNegative val="0"/>
            <c:bubble3D val="0"/>
            <c:extLst>
              <c:ext xmlns:c16="http://schemas.microsoft.com/office/drawing/2014/chart" uri="{C3380CC4-5D6E-409C-BE32-E72D297353CC}">
                <c16:uniqueId val="{00000001-01C3-4340-9D2F-E14BD19687A9}"/>
              </c:ext>
            </c:extLst>
          </c:dPt>
          <c:dPt>
            <c:idx val="5"/>
            <c:invertIfNegative val="0"/>
            <c:bubble3D val="0"/>
            <c:extLst>
              <c:ext xmlns:c16="http://schemas.microsoft.com/office/drawing/2014/chart" uri="{C3380CC4-5D6E-409C-BE32-E72D297353CC}">
                <c16:uniqueId val="{00000002-01C3-4340-9D2F-E14BD19687A9}"/>
              </c:ext>
            </c:extLst>
          </c:dPt>
          <c:dLbls>
            <c:numFmt formatCode="#\%" sourceLinked="0"/>
            <c:spPr>
              <a:noFill/>
              <a:ln>
                <a:noFill/>
              </a:ln>
              <a:effectLst/>
            </c:spPr>
            <c:txPr>
              <a:bodyPr rot="0" spcFirstLastPara="1" vertOverflow="overflow" horzOverflow="overflow" vert="horz" wrap="square" lIns="72000" tIns="0" rIns="0" bIns="0" anchor="ctr" anchorCtr="1">
                <a:spAutoFit/>
              </a:bodyPr>
              <a:lstStyle/>
              <a:p>
                <a:pPr>
                  <a:defRPr sz="900" b="0" i="0" u="none" strike="noStrike" kern="1200" baseline="0">
                    <a:solidFill>
                      <a:schemeClr val="bg1"/>
                    </a:solidFill>
                    <a:latin typeface="Arial" panose="020B0604020202020204" pitchFamily="34" charset="0"/>
                    <a:ea typeface="+mn-ea"/>
                    <a:cs typeface="Arial" panose="020B0604020202020204" pitchFamily="34" charset="0"/>
                  </a:defRPr>
                </a:pPr>
                <a:endParaRPr lang="pl-PL"/>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Calculation!$A$40:$A$45</c:f>
              <c:strCache>
                <c:ptCount val="6"/>
                <c:pt idx="0">
                  <c:v>AC controller sofware missing</c:v>
                </c:pt>
                <c:pt idx="1">
                  <c:v>AC remote does not  work</c:v>
                </c:pt>
                <c:pt idx="2">
                  <c:v>Battery backup does not get fully charged</c:v>
                </c:pt>
                <c:pt idx="3">
                  <c:v>Battery does not last full 8 hrs</c:v>
                </c:pt>
                <c:pt idx="4">
                  <c:v>Remote Keys get stuck </c:v>
                </c:pt>
                <c:pt idx="5">
                  <c:v>Unable to operate menu from remote</c:v>
                </c:pt>
              </c:strCache>
            </c:strRef>
          </c:cat>
          <c:val>
            <c:numRef>
              <c:f>Calculation!$C$40:$C$45</c:f>
              <c:numCache>
                <c:formatCode>General</c:formatCode>
                <c:ptCount val="6"/>
                <c:pt idx="0">
                  <c:v>0</c:v>
                </c:pt>
                <c:pt idx="1">
                  <c:v>0</c:v>
                </c:pt>
                <c:pt idx="2">
                  <c:v>50</c:v>
                </c:pt>
                <c:pt idx="3">
                  <c:v>40</c:v>
                </c:pt>
                <c:pt idx="4">
                  <c:v>0</c:v>
                </c:pt>
                <c:pt idx="5">
                  <c:v>0</c:v>
                </c:pt>
              </c:numCache>
            </c:numRef>
          </c:val>
          <c:extLst>
            <c:ext xmlns:c16="http://schemas.microsoft.com/office/drawing/2014/chart" uri="{C3380CC4-5D6E-409C-BE32-E72D297353CC}">
              <c16:uniqueId val="{00000001-D015-4072-A529-A3609991EE9F}"/>
            </c:ext>
          </c:extLst>
        </c:ser>
        <c:dLbls>
          <c:showLegendKey val="0"/>
          <c:showVal val="0"/>
          <c:showCatName val="0"/>
          <c:showSerName val="0"/>
          <c:showPercent val="0"/>
          <c:showBubbleSize val="0"/>
        </c:dLbls>
        <c:gapWidth val="50"/>
        <c:overlap val="100"/>
        <c:axId val="956372832"/>
        <c:axId val="956374800"/>
      </c:barChart>
      <c:catAx>
        <c:axId val="9563728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l-PL"/>
          </a:p>
        </c:txPr>
        <c:crossAx val="956374800"/>
        <c:crosses val="autoZero"/>
        <c:auto val="1"/>
        <c:lblAlgn val="ctr"/>
        <c:lblOffset val="100"/>
        <c:noMultiLvlLbl val="0"/>
      </c:catAx>
      <c:valAx>
        <c:axId val="956374800"/>
        <c:scaling>
          <c:orientation val="minMax"/>
        </c:scaling>
        <c:delete val="1"/>
        <c:axPos val="b"/>
        <c:numFmt formatCode="0%" sourceLinked="1"/>
        <c:majorTickMark val="out"/>
        <c:minorTickMark val="none"/>
        <c:tickLblPos val="nextTo"/>
        <c:crossAx val="956372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l-PL"/>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Calculation!$C$1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firstButton="1" fmlaLink="Calculation!$B$4"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3</xdr:col>
      <xdr:colOff>168421</xdr:colOff>
      <xdr:row>14</xdr:row>
      <xdr:rowOff>43761</xdr:rowOff>
    </xdr:from>
    <xdr:to>
      <xdr:col>6</xdr:col>
      <xdr:colOff>134009</xdr:colOff>
      <xdr:row>29</xdr:row>
      <xdr:rowOff>66261</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351594" y="2710761"/>
          <a:ext cx="1789992" cy="2880000"/>
        </a:xfrm>
        <a:prstGeom prst="rect">
          <a:avLst/>
        </a:prstGeom>
        <a:solidFill>
          <a:schemeClr val="bg1"/>
        </a:solidFill>
        <a:ln w="19050">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t"/>
        <a:lstStyle/>
        <a:p>
          <a:pPr algn="l"/>
          <a:endParaRPr lang="pl-PL" sz="1100"/>
        </a:p>
      </xdr:txBody>
    </xdr:sp>
    <xdr:clientData fLocksWithSheet="0"/>
  </xdr:twoCellAnchor>
  <xdr:twoCellAnchor editAs="absolute">
    <xdr:from>
      <xdr:col>0</xdr:col>
      <xdr:colOff>0</xdr:colOff>
      <xdr:row>14</xdr:row>
      <xdr:rowOff>4590</xdr:rowOff>
    </xdr:from>
    <xdr:to>
      <xdr:col>6</xdr:col>
      <xdr:colOff>401861</xdr:colOff>
      <xdr:row>24</xdr:row>
      <xdr:rowOff>140925</xdr:rowOff>
    </xdr:to>
    <xdr:graphicFrame macro="">
      <xdr:nvGraphicFramePr>
        <xdr:cNvPr id="44" name="Chart 43">
          <a:extLst>
            <a:ext uri="{FF2B5EF4-FFF2-40B4-BE49-F238E27FC236}">
              <a16:creationId xmlns:a16="http://schemas.microsoft.com/office/drawing/2014/main" id="{00000000-0008-0000-00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6</xdr:col>
      <xdr:colOff>215348</xdr:colOff>
      <xdr:row>5</xdr:row>
      <xdr:rowOff>74543</xdr:rowOff>
    </xdr:from>
    <xdr:to>
      <xdr:col>16</xdr:col>
      <xdr:colOff>173935</xdr:colOff>
      <xdr:row>29</xdr:row>
      <xdr:rowOff>66261</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2236305" y="1027043"/>
          <a:ext cx="6087717" cy="4563718"/>
        </a:xfrm>
        <a:prstGeom prst="rect">
          <a:avLst/>
        </a:prstGeom>
        <a:solidFill>
          <a:schemeClr val="bg1"/>
        </a:solidFill>
        <a:ln w="19050">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3</xdr:col>
      <xdr:colOff>180975</xdr:colOff>
      <xdr:row>0</xdr:row>
      <xdr:rowOff>189258</xdr:rowOff>
    </xdr:from>
    <xdr:to>
      <xdr:col>6</xdr:col>
      <xdr:colOff>142236</xdr:colOff>
      <xdr:row>4</xdr:row>
      <xdr:rowOff>179733</xdr:rowOff>
    </xdr:to>
    <xdr:grpSp>
      <xdr:nvGrpSpPr>
        <xdr:cNvPr id="26" name="Group 25">
          <a:extLst>
            <a:ext uri="{FF2B5EF4-FFF2-40B4-BE49-F238E27FC236}">
              <a16:creationId xmlns:a16="http://schemas.microsoft.com/office/drawing/2014/main" id="{00000000-0008-0000-0000-00001A000000}"/>
            </a:ext>
          </a:extLst>
        </xdr:cNvPr>
        <xdr:cNvGrpSpPr/>
      </xdr:nvGrpSpPr>
      <xdr:grpSpPr>
        <a:xfrm>
          <a:off x="362243" y="179733"/>
          <a:ext cx="1851607" cy="730787"/>
          <a:chOff x="733425" y="266700"/>
          <a:chExt cx="1590675" cy="752475"/>
        </a:xfrm>
      </xdr:grpSpPr>
      <xdr:sp macro="" textlink="">
        <xdr:nvSpPr>
          <xdr:cNvPr id="3" name="Rectangle 2">
            <a:extLst>
              <a:ext uri="{FF2B5EF4-FFF2-40B4-BE49-F238E27FC236}">
                <a16:creationId xmlns:a16="http://schemas.microsoft.com/office/drawing/2014/main" id="{00000000-0008-0000-0000-000003000000}"/>
              </a:ext>
            </a:extLst>
          </xdr:cNvPr>
          <xdr:cNvSpPr/>
        </xdr:nvSpPr>
        <xdr:spPr>
          <a:xfrm>
            <a:off x="733425" y="266700"/>
            <a:ext cx="1590675" cy="7524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pl-PL" sz="1100"/>
          </a:p>
        </xdr:txBody>
      </xdr:sp>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33425" y="276225"/>
            <a:ext cx="12001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100">
                <a:latin typeface="Arial" panose="020B0604020202020204" pitchFamily="34" charset="0"/>
                <a:cs typeface="Arial" panose="020B0604020202020204" pitchFamily="34" charset="0"/>
              </a:rPr>
              <a:t>Total Cases</a:t>
            </a:r>
          </a:p>
        </xdr:txBody>
      </xdr:sp>
      <xdr:sp macro="" textlink="Calculation!H4">
        <xdr:nvSpPr>
          <xdr:cNvPr id="4" name="TextBox 3">
            <a:extLst>
              <a:ext uri="{FF2B5EF4-FFF2-40B4-BE49-F238E27FC236}">
                <a16:creationId xmlns:a16="http://schemas.microsoft.com/office/drawing/2014/main" id="{00000000-0008-0000-0000-000004000000}"/>
              </a:ext>
            </a:extLst>
          </xdr:cNvPr>
          <xdr:cNvSpPr txBox="1"/>
        </xdr:nvSpPr>
        <xdr:spPr>
          <a:xfrm>
            <a:off x="1362075" y="581025"/>
            <a:ext cx="9620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64AEF89D-25C0-4A1E-AB49-3E9BEAE62539}" type="TxLink">
              <a:rPr lang="en-US" sz="2000">
                <a:solidFill>
                  <a:schemeClr val="tx2"/>
                </a:solidFill>
                <a:latin typeface="+mn-lt"/>
                <a:ea typeface="+mn-ea"/>
                <a:cs typeface="+mn-cs"/>
              </a:rPr>
              <a:pPr marL="0" indent="0" algn="r"/>
              <a:t>3284</a:t>
            </a:fld>
            <a:endParaRPr lang="pl-PL" sz="2000">
              <a:solidFill>
                <a:schemeClr val="tx2"/>
              </a:solidFill>
              <a:latin typeface="+mn-lt"/>
              <a:ea typeface="+mn-ea"/>
              <a:cs typeface="+mn-cs"/>
            </a:endParaRPr>
          </a:p>
        </xdr:txBody>
      </xdr:sp>
    </xdr:grpSp>
    <xdr:clientData/>
  </xdr:twoCellAnchor>
  <xdr:twoCellAnchor>
    <xdr:from>
      <xdr:col>3</xdr:col>
      <xdr:colOff>180146</xdr:colOff>
      <xdr:row>9</xdr:row>
      <xdr:rowOff>147845</xdr:rowOff>
    </xdr:from>
    <xdr:to>
      <xdr:col>6</xdr:col>
      <xdr:colOff>141407</xdr:colOff>
      <xdr:row>13</xdr:row>
      <xdr:rowOff>138320</xdr:rowOff>
    </xdr:to>
    <xdr:grpSp>
      <xdr:nvGrpSpPr>
        <xdr:cNvPr id="31" name="Group 30">
          <a:extLst>
            <a:ext uri="{FF2B5EF4-FFF2-40B4-BE49-F238E27FC236}">
              <a16:creationId xmlns:a16="http://schemas.microsoft.com/office/drawing/2014/main" id="{00000000-0008-0000-0000-00001F000000}"/>
            </a:ext>
          </a:extLst>
        </xdr:cNvPr>
        <xdr:cNvGrpSpPr/>
      </xdr:nvGrpSpPr>
      <xdr:grpSpPr>
        <a:xfrm>
          <a:off x="361414" y="1794498"/>
          <a:ext cx="1851607" cy="721262"/>
          <a:chOff x="733424" y="266700"/>
          <a:chExt cx="1590676" cy="752475"/>
        </a:xfrm>
      </xdr:grpSpPr>
      <xdr:sp macro="" textlink="">
        <xdr:nvSpPr>
          <xdr:cNvPr id="32" name="Rectangle 31">
            <a:extLst>
              <a:ext uri="{FF2B5EF4-FFF2-40B4-BE49-F238E27FC236}">
                <a16:creationId xmlns:a16="http://schemas.microsoft.com/office/drawing/2014/main" id="{00000000-0008-0000-0000-000020000000}"/>
              </a:ext>
            </a:extLst>
          </xdr:cNvPr>
          <xdr:cNvSpPr/>
        </xdr:nvSpPr>
        <xdr:spPr>
          <a:xfrm>
            <a:off x="733425" y="266700"/>
            <a:ext cx="1590675" cy="7524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pl-PL" sz="1100"/>
          </a:p>
        </xdr:txBody>
      </xdr:sp>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733424" y="276225"/>
            <a:ext cx="15716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pl-PL" sz="1100">
                <a:solidFill>
                  <a:schemeClr val="dk1"/>
                </a:solidFill>
                <a:latin typeface="Arial" panose="020B0604020202020204" pitchFamily="34" charset="0"/>
                <a:ea typeface="+mn-ea"/>
                <a:cs typeface="Arial" panose="020B0604020202020204" pitchFamily="34" charset="0"/>
              </a:rPr>
              <a:t>Average of pending calls</a:t>
            </a:r>
          </a:p>
        </xdr:txBody>
      </xdr:sp>
      <xdr:sp macro="" textlink="Calculation!I4">
        <xdr:nvSpPr>
          <xdr:cNvPr id="34" name="TextBox 33">
            <a:extLst>
              <a:ext uri="{FF2B5EF4-FFF2-40B4-BE49-F238E27FC236}">
                <a16:creationId xmlns:a16="http://schemas.microsoft.com/office/drawing/2014/main" id="{00000000-0008-0000-0000-000022000000}"/>
              </a:ext>
            </a:extLst>
          </xdr:cNvPr>
          <xdr:cNvSpPr txBox="1"/>
        </xdr:nvSpPr>
        <xdr:spPr>
          <a:xfrm>
            <a:off x="1362075" y="581025"/>
            <a:ext cx="9620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1A53E884-6972-4DA2-98DA-FB4ED091D0D9}" type="TxLink">
              <a:rPr lang="en-US" sz="2000">
                <a:solidFill>
                  <a:schemeClr val="tx2"/>
                </a:solidFill>
                <a:latin typeface="+mn-lt"/>
                <a:ea typeface="+mn-ea"/>
                <a:cs typeface="+mn-cs"/>
              </a:rPr>
              <a:pPr marL="0" indent="0" algn="r"/>
              <a:t>2,2</a:t>
            </a:fld>
            <a:endParaRPr lang="pl-PL" sz="2000">
              <a:solidFill>
                <a:schemeClr val="tx2"/>
              </a:solidFill>
              <a:latin typeface="+mn-lt"/>
              <a:ea typeface="+mn-ea"/>
              <a:cs typeface="+mn-cs"/>
            </a:endParaRPr>
          </a:p>
        </xdr:txBody>
      </xdr:sp>
    </xdr:grpSp>
    <xdr:clientData/>
  </xdr:twoCellAnchor>
  <xdr:twoCellAnchor>
    <xdr:from>
      <xdr:col>3</xdr:col>
      <xdr:colOff>183046</xdr:colOff>
      <xdr:row>5</xdr:row>
      <xdr:rowOff>73301</xdr:rowOff>
    </xdr:from>
    <xdr:to>
      <xdr:col>6</xdr:col>
      <xdr:colOff>144307</xdr:colOff>
      <xdr:row>9</xdr:row>
      <xdr:rowOff>63776</xdr:rowOff>
    </xdr:to>
    <xdr:grpSp>
      <xdr:nvGrpSpPr>
        <xdr:cNvPr id="35" name="Group 34">
          <a:extLst>
            <a:ext uri="{FF2B5EF4-FFF2-40B4-BE49-F238E27FC236}">
              <a16:creationId xmlns:a16="http://schemas.microsoft.com/office/drawing/2014/main" id="{00000000-0008-0000-0000-000023000000}"/>
            </a:ext>
          </a:extLst>
        </xdr:cNvPr>
        <xdr:cNvGrpSpPr/>
      </xdr:nvGrpSpPr>
      <xdr:grpSpPr>
        <a:xfrm>
          <a:off x="364314" y="989166"/>
          <a:ext cx="1851607" cy="719358"/>
          <a:chOff x="733424" y="266700"/>
          <a:chExt cx="1590676" cy="752475"/>
        </a:xfrm>
      </xdr:grpSpPr>
      <xdr:sp macro="" textlink="">
        <xdr:nvSpPr>
          <xdr:cNvPr id="36" name="Rectangle 35">
            <a:extLst>
              <a:ext uri="{FF2B5EF4-FFF2-40B4-BE49-F238E27FC236}">
                <a16:creationId xmlns:a16="http://schemas.microsoft.com/office/drawing/2014/main" id="{00000000-0008-0000-0000-000024000000}"/>
              </a:ext>
            </a:extLst>
          </xdr:cNvPr>
          <xdr:cNvSpPr/>
        </xdr:nvSpPr>
        <xdr:spPr>
          <a:xfrm>
            <a:off x="733425" y="266700"/>
            <a:ext cx="1590675" cy="7524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pl-PL" sz="1100"/>
          </a:p>
        </xdr:txBody>
      </xdr:sp>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733424" y="276225"/>
            <a:ext cx="1579610"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pl-PL" sz="1100">
                <a:solidFill>
                  <a:schemeClr val="dk1"/>
                </a:solidFill>
                <a:latin typeface="Arial" panose="020B0604020202020204" pitchFamily="34" charset="0"/>
                <a:ea typeface="+mn-ea"/>
                <a:cs typeface="Arial" panose="020B0604020202020204" pitchFamily="34" charset="0"/>
              </a:rPr>
              <a:t>Average resolve time [min]</a:t>
            </a:r>
          </a:p>
        </xdr:txBody>
      </xdr:sp>
      <xdr:sp macro="" textlink="Calculation!J4">
        <xdr:nvSpPr>
          <xdr:cNvPr id="38" name="TextBox 37">
            <a:extLst>
              <a:ext uri="{FF2B5EF4-FFF2-40B4-BE49-F238E27FC236}">
                <a16:creationId xmlns:a16="http://schemas.microsoft.com/office/drawing/2014/main" id="{00000000-0008-0000-0000-000026000000}"/>
              </a:ext>
            </a:extLst>
          </xdr:cNvPr>
          <xdr:cNvSpPr txBox="1"/>
        </xdr:nvSpPr>
        <xdr:spPr>
          <a:xfrm>
            <a:off x="1362075" y="581025"/>
            <a:ext cx="9620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D9F39ED4-7F2B-496A-A7B1-FF33E63146DE}" type="TxLink">
              <a:rPr lang="en-US" sz="2000">
                <a:solidFill>
                  <a:schemeClr val="tx2"/>
                </a:solidFill>
                <a:latin typeface="+mn-lt"/>
                <a:ea typeface="+mn-ea"/>
                <a:cs typeface="+mn-cs"/>
              </a:rPr>
              <a:pPr marL="0" indent="0" algn="r"/>
              <a:t>63</a:t>
            </a:fld>
            <a:endParaRPr lang="pl-PL" sz="2000">
              <a:solidFill>
                <a:schemeClr val="tx2"/>
              </a:solidFill>
              <a:latin typeface="+mn-lt"/>
              <a:ea typeface="+mn-ea"/>
              <a:cs typeface="+mn-cs"/>
            </a:endParaRPr>
          </a:p>
        </xdr:txBody>
      </xdr:sp>
    </xdr:grpSp>
    <xdr:clientData/>
  </xdr:twoCellAnchor>
  <xdr:twoCellAnchor>
    <xdr:from>
      <xdr:col>6</xdr:col>
      <xdr:colOff>215348</xdr:colOff>
      <xdr:row>0</xdr:row>
      <xdr:rowOff>190499</xdr:rowOff>
    </xdr:from>
    <xdr:to>
      <xdr:col>16</xdr:col>
      <xdr:colOff>173934</xdr:colOff>
      <xdr:row>4</xdr:row>
      <xdr:rowOff>180974</xdr:rowOff>
    </xdr:to>
    <xdr:sp macro="" textlink="">
      <xdr:nvSpPr>
        <xdr:cNvPr id="39" name="Rectangle 38">
          <a:extLst>
            <a:ext uri="{FF2B5EF4-FFF2-40B4-BE49-F238E27FC236}">
              <a16:creationId xmlns:a16="http://schemas.microsoft.com/office/drawing/2014/main" id="{00000000-0008-0000-0000-000027000000}"/>
            </a:ext>
          </a:extLst>
        </xdr:cNvPr>
        <xdr:cNvSpPr/>
      </xdr:nvSpPr>
      <xdr:spPr>
        <a:xfrm>
          <a:off x="2236305" y="190499"/>
          <a:ext cx="6087716" cy="752475"/>
        </a:xfrm>
        <a:prstGeom prst="rect">
          <a:avLst/>
        </a:prstGeom>
        <a:solidFill>
          <a:schemeClr val="tx2"/>
        </a:solidFill>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kumimoji="0" lang="pl-PL" sz="1600" b="1" i="0" u="none" strike="noStrike" kern="0" cap="none" spc="0" normalizeH="0" baseline="0" noProof="0">
              <a:ln>
                <a:noFill/>
              </a:ln>
              <a:solidFill>
                <a:prstClr val="white"/>
              </a:solidFill>
              <a:effectLst/>
              <a:uLnTx/>
              <a:uFillTx/>
              <a:latin typeface="Arial" panose="020B0604020202020204" pitchFamily="34" charset="0"/>
              <a:ea typeface="+mn-ea"/>
              <a:cs typeface="Arial" panose="020B0604020202020204" pitchFamily="34" charset="0"/>
            </a:rPr>
            <a:t>CUSTOMER </a:t>
          </a:r>
          <a:r>
            <a:rPr lang="pl-PL" sz="1600" b="1">
              <a:solidFill>
                <a:schemeClr val="bg1"/>
              </a:solidFill>
              <a:latin typeface="Arial" panose="020B0604020202020204" pitchFamily="34" charset="0"/>
              <a:cs typeface="Arial" panose="020B0604020202020204" pitchFamily="34" charset="0"/>
            </a:rPr>
            <a:t>TECHNICAL</a:t>
          </a:r>
          <a:r>
            <a:rPr lang="pl-PL" sz="1600" b="1" baseline="0">
              <a:solidFill>
                <a:schemeClr val="bg1"/>
              </a:solidFill>
              <a:latin typeface="Arial" panose="020B0604020202020204" pitchFamily="34" charset="0"/>
              <a:cs typeface="Arial" panose="020B0604020202020204" pitchFamily="34" charset="0"/>
            </a:rPr>
            <a:t> SUPPORT DATA ANALYSIS</a:t>
          </a:r>
          <a:br>
            <a:rPr lang="pl-PL" sz="1600" b="1" baseline="0">
              <a:solidFill>
                <a:schemeClr val="bg1"/>
              </a:solidFill>
              <a:latin typeface="Arial" panose="020B0604020202020204" pitchFamily="34" charset="0"/>
              <a:cs typeface="Arial" panose="020B0604020202020204" pitchFamily="34" charset="0"/>
            </a:rPr>
          </a:br>
          <a:r>
            <a:rPr lang="pl-PL" sz="1600" b="1" baseline="0">
              <a:solidFill>
                <a:schemeClr val="bg1"/>
              </a:solidFill>
              <a:latin typeface="Arial" panose="020B0604020202020204" pitchFamily="34" charset="0"/>
              <a:cs typeface="Arial" panose="020B0604020202020204" pitchFamily="34" charset="0"/>
            </a:rPr>
            <a:t>for AC unit</a:t>
          </a:r>
          <a:endParaRPr lang="pl-PL" sz="1600" b="1">
            <a:solidFill>
              <a:schemeClr val="bg1"/>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223629</xdr:colOff>
          <xdr:row>9</xdr:row>
          <xdr:rowOff>66261</xdr:rowOff>
        </xdr:from>
        <xdr:to>
          <xdr:col>16</xdr:col>
          <xdr:colOff>182216</xdr:colOff>
          <xdr:row>29</xdr:row>
          <xdr:rowOff>66260</xdr:rowOff>
        </xdr:to>
        <xdr:pic>
          <xdr:nvPicPr>
            <xdr:cNvPr id="40" name="Picture 39">
              <a:extLst>
                <a:ext uri="{FF2B5EF4-FFF2-40B4-BE49-F238E27FC236}">
                  <a16:creationId xmlns:a16="http://schemas.microsoft.com/office/drawing/2014/main" id="{00000000-0008-0000-0000-000028000000}"/>
                </a:ext>
              </a:extLst>
            </xdr:cNvPr>
            <xdr:cNvPicPr>
              <a:picLocks noChangeAspect="1" noChangeArrowheads="1"/>
              <a:extLst>
                <a:ext uri="{84589F7E-364E-4C9E-8A38-B11213B215E9}">
                  <a14:cameraTool cellRange="chart" spid="_x0000_s1074"/>
                </a:ext>
              </a:extLst>
            </xdr:cNvPicPr>
          </xdr:nvPicPr>
          <xdr:blipFill>
            <a:blip xmlns:r="http://schemas.openxmlformats.org/officeDocument/2006/relationships" r:embed="rId2"/>
            <a:srcRect/>
            <a:stretch>
              <a:fillRect/>
            </a:stretch>
          </xdr:blipFill>
          <xdr:spPr bwMode="auto">
            <a:xfrm>
              <a:off x="2244586" y="1780761"/>
              <a:ext cx="6087717" cy="3809999"/>
            </a:xfrm>
            <a:prstGeom prst="rect">
              <a:avLst/>
            </a:prstGeom>
            <a:noFill/>
            <a:ln w="9525">
              <a:no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9</xdr:col>
          <xdr:colOff>263772</xdr:colOff>
          <xdr:row>5</xdr:row>
          <xdr:rowOff>153865</xdr:rowOff>
        </xdr:from>
        <xdr:to>
          <xdr:col>14</xdr:col>
          <xdr:colOff>102576</xdr:colOff>
          <xdr:row>8</xdr:row>
          <xdr:rowOff>117231</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4227637" y="1069730"/>
              <a:ext cx="2985571" cy="512886"/>
              <a:chOff x="4095753" y="1106365"/>
              <a:chExt cx="2879477" cy="534866"/>
            </a:xfrm>
          </xdr:grpSpPr>
          <xdr:sp macro="" textlink="">
            <xdr:nvSpPr>
              <xdr:cNvPr id="1035" name="Group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4095753" y="1106365"/>
                <a:ext cx="2879477" cy="534866"/>
              </a:xfrm>
              <a:prstGeom prst="rect">
                <a:avLst/>
              </a:prstGeom>
              <a:noFill/>
              <a:ln w="9525">
                <a:miter lim="800000"/>
                <a:headEnd/>
                <a:tailEnd/>
              </a:ln>
              <a:extLst>
                <a:ext uri="{909E8E84-426E-40DD-AFC4-6F175D3DCCD1}">
                  <a14:hiddenFill>
                    <a:noFill/>
                  </a14:hiddenFill>
                </a:ext>
              </a:extLst>
            </xdr:spPr>
          </xdr:sp>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4095780" y="1140102"/>
                <a:ext cx="2860909"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No of cases and average resolve time</a:t>
                </a:r>
              </a:p>
            </xdr:txBody>
          </xdr:sp>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4095780" y="1405144"/>
                <a:ext cx="2547456"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In or post warranty percentage cases</a:t>
                </a:r>
              </a:p>
            </xdr:txBody>
          </xdr:sp>
        </xdr:grpSp>
        <xdr:clientData/>
      </xdr:twoCellAnchor>
    </mc:Choice>
    <mc:Fallback/>
  </mc:AlternateContent>
  <xdr:twoCellAnchor editAs="oneCell">
    <xdr:from>
      <xdr:col>14</xdr:col>
      <xdr:colOff>137938</xdr:colOff>
      <xdr:row>5</xdr:row>
      <xdr:rowOff>102576</xdr:rowOff>
    </xdr:from>
    <xdr:to>
      <xdr:col>16</xdr:col>
      <xdr:colOff>96524</xdr:colOff>
      <xdr:row>9</xdr:row>
      <xdr:rowOff>73268</xdr:rowOff>
    </xdr:to>
    <mc:AlternateContent xmlns:mc="http://schemas.openxmlformats.org/markup-compatibility/2006" xmlns:a14="http://schemas.microsoft.com/office/drawing/2010/main">
      <mc:Choice Requires="a14">
        <xdr:graphicFrame macro="">
          <xdr:nvGraphicFramePr>
            <xdr:cNvPr id="41" name="Category 1">
              <a:extLst>
                <a:ext uri="{FF2B5EF4-FFF2-40B4-BE49-F238E27FC236}">
                  <a16:creationId xmlns:a16="http://schemas.microsoft.com/office/drawing/2014/main" id="{00000000-0008-0000-0000-000029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7010592" y="1055076"/>
              <a:ext cx="1174855" cy="732692"/>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273327</xdr:colOff>
      <xdr:row>5</xdr:row>
      <xdr:rowOff>157371</xdr:rowOff>
    </xdr:from>
    <xdr:to>
      <xdr:col>9</xdr:col>
      <xdr:colOff>207066</xdr:colOff>
      <xdr:row>9</xdr:row>
      <xdr:rowOff>1</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294284" y="1109871"/>
          <a:ext cx="1772478" cy="604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1400" b="1">
              <a:solidFill>
                <a:schemeClr val="tx2"/>
              </a:solidFill>
              <a:latin typeface="Arial" panose="020B0604020202020204" pitchFamily="34" charset="0"/>
              <a:ea typeface="+mn-ea"/>
              <a:cs typeface="Arial" panose="020B0604020202020204" pitchFamily="34" charset="0"/>
            </a:rPr>
            <a:t>PROBLEM</a:t>
          </a:r>
          <a:br>
            <a:rPr lang="pl-PL" sz="1400" b="1">
              <a:solidFill>
                <a:schemeClr val="tx2"/>
              </a:solidFill>
              <a:latin typeface="Arial" panose="020B0604020202020204" pitchFamily="34" charset="0"/>
              <a:ea typeface="+mn-ea"/>
              <a:cs typeface="Arial" panose="020B0604020202020204" pitchFamily="34" charset="0"/>
            </a:rPr>
          </a:br>
          <a:r>
            <a:rPr lang="pl-PL" sz="1400" b="1">
              <a:solidFill>
                <a:schemeClr val="tx2"/>
              </a:solidFill>
              <a:latin typeface="Arial" panose="020B0604020202020204" pitchFamily="34" charset="0"/>
              <a:ea typeface="+mn-ea"/>
              <a:cs typeface="Arial" panose="020B0604020202020204" pitchFamily="34" charset="0"/>
            </a:rPr>
            <a:t>TYPE</a:t>
          </a:r>
        </a:p>
      </xdr:txBody>
    </xdr:sp>
    <xdr:clientData/>
  </xdr:twoCellAnchor>
  <xdr:twoCellAnchor>
    <xdr:from>
      <xdr:col>6</xdr:col>
      <xdr:colOff>215347</xdr:colOff>
      <xdr:row>9</xdr:row>
      <xdr:rowOff>66260</xdr:rowOff>
    </xdr:from>
    <xdr:to>
      <xdr:col>16</xdr:col>
      <xdr:colOff>173935</xdr:colOff>
      <xdr:row>9</xdr:row>
      <xdr:rowOff>66260</xdr:rowOff>
    </xdr:to>
    <xdr:cxnSp macro="">
      <xdr:nvCxnSpPr>
        <xdr:cNvPr id="28" name="Straight Connector 27">
          <a:extLst>
            <a:ext uri="{FF2B5EF4-FFF2-40B4-BE49-F238E27FC236}">
              <a16:creationId xmlns:a16="http://schemas.microsoft.com/office/drawing/2014/main" id="{00000000-0008-0000-0000-00001C000000}"/>
            </a:ext>
          </a:extLst>
        </xdr:cNvPr>
        <xdr:cNvCxnSpPr/>
      </xdr:nvCxnSpPr>
      <xdr:spPr>
        <a:xfrm>
          <a:off x="2236304" y="1780760"/>
          <a:ext cx="6087718" cy="0"/>
        </a:xfrm>
        <a:prstGeom prst="line">
          <a:avLst/>
        </a:prstGeom>
        <a:ln>
          <a:solidFill>
            <a:schemeClr val="tx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146540</xdr:colOff>
      <xdr:row>14</xdr:row>
      <xdr:rowOff>41414</xdr:rowOff>
    </xdr:from>
    <xdr:to>
      <xdr:col>6</xdr:col>
      <xdr:colOff>155052</xdr:colOff>
      <xdr:row>16</xdr:row>
      <xdr:rowOff>39537</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329713" y="2708414"/>
          <a:ext cx="1832916" cy="379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pl-PL" sz="1100">
              <a:solidFill>
                <a:schemeClr val="dk1"/>
              </a:solidFill>
              <a:latin typeface="Arial" panose="020B0604020202020204" pitchFamily="34" charset="0"/>
              <a:ea typeface="+mn-ea"/>
              <a:cs typeface="Arial" panose="020B0604020202020204" pitchFamily="34" charset="0"/>
            </a:rPr>
            <a:t>Categories distribution [%]</a:t>
          </a:r>
        </a:p>
      </xdr:txBody>
    </xdr:sp>
    <xdr:clientData/>
  </xdr:twoCellAnchor>
  <mc:AlternateContent xmlns:mc="http://schemas.openxmlformats.org/markup-compatibility/2006">
    <mc:Choice xmlns:a14="http://schemas.microsoft.com/office/drawing/2010/main" Requires="a14">
      <xdr:twoCellAnchor>
        <xdr:from>
          <xdr:col>3</xdr:col>
          <xdr:colOff>238125</xdr:colOff>
          <xdr:row>23</xdr:row>
          <xdr:rowOff>133350</xdr:rowOff>
        </xdr:from>
        <xdr:to>
          <xdr:col>5</xdr:col>
          <xdr:colOff>304800</xdr:colOff>
          <xdr:row>29</xdr:row>
          <xdr:rowOff>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423203" y="4342521"/>
              <a:ext cx="1325001" cy="969498"/>
              <a:chOff x="421298" y="4514850"/>
              <a:chExt cx="1282944" cy="1009650"/>
            </a:xfrm>
          </xdr:grpSpPr>
          <xdr:sp macro="" textlink="">
            <xdr:nvSpPr>
              <xdr:cNvPr id="1036" name="Group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421298" y="4514850"/>
                <a:ext cx="1282944" cy="1009650"/>
              </a:xfrm>
              <a:prstGeom prst="rect">
                <a:avLst/>
              </a:prstGeom>
              <a:noFill/>
              <a:ln w="9525">
                <a:miter lim="800000"/>
                <a:headEnd/>
                <a:tailEnd/>
              </a:ln>
              <a:extLst>
                <a:ext uri="{909E8E84-426E-40DD-AFC4-6F175D3DCCD1}">
                  <a14:hiddenFill>
                    <a:noFill/>
                  </a14:hiddenFill>
                </a:ext>
              </a:extLst>
            </xdr:spPr>
          </xdr:sp>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422031" y="4571865"/>
                <a:ext cx="1233555" cy="323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No of cases</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422031" y="4857615"/>
                <a:ext cx="1225315" cy="3429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Avg resolve time</a:t>
                </a:r>
              </a:p>
            </xdr:txBody>
          </xdr:sp>
          <xdr:sp macro="" textlink="">
            <xdr:nvSpPr>
              <xdr:cNvPr id="1056" name="Option 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422031" y="5193323"/>
                <a:ext cx="1111494"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Recurence cases</a:t>
                </a:r>
              </a:p>
            </xdr:txBody>
          </xdr:sp>
        </xdr:grpSp>
        <xdr:clientData/>
      </xdr:twoCellAnchor>
    </mc:Choice>
    <mc:Fallback/>
  </mc:AlternateContent>
  <xdr:twoCellAnchor>
    <xdr:from>
      <xdr:col>9</xdr:col>
      <xdr:colOff>256442</xdr:colOff>
      <xdr:row>5</xdr:row>
      <xdr:rowOff>109904</xdr:rowOff>
    </xdr:from>
    <xdr:to>
      <xdr:col>14</xdr:col>
      <xdr:colOff>124558</xdr:colOff>
      <xdr:row>5</xdr:row>
      <xdr:rowOff>168519</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4088423" y="1062404"/>
          <a:ext cx="2908789" cy="58615"/>
        </a:xfrm>
        <a:prstGeom prst="rect">
          <a:avLst/>
        </a:prstGeom>
        <a:solidFill>
          <a:schemeClr val="bg1"/>
        </a:solidFill>
        <a:ln>
          <a:no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pl-PL" sz="1100"/>
        </a:p>
      </xdr:txBody>
    </xdr:sp>
    <xdr:clientData/>
  </xdr:twoCellAnchor>
  <xdr:twoCellAnchor>
    <xdr:from>
      <xdr:col>9</xdr:col>
      <xdr:colOff>263769</xdr:colOff>
      <xdr:row>8</xdr:row>
      <xdr:rowOff>87923</xdr:rowOff>
    </xdr:from>
    <xdr:to>
      <xdr:col>14</xdr:col>
      <xdr:colOff>131885</xdr:colOff>
      <xdr:row>8</xdr:row>
      <xdr:rowOff>146538</xdr:rowOff>
    </xdr:to>
    <xdr:sp macro="" textlink="">
      <xdr:nvSpPr>
        <xdr:cNvPr id="42" name="Rectangle 41">
          <a:extLst>
            <a:ext uri="{FF2B5EF4-FFF2-40B4-BE49-F238E27FC236}">
              <a16:creationId xmlns:a16="http://schemas.microsoft.com/office/drawing/2014/main" id="{00000000-0008-0000-0000-00002A000000}"/>
            </a:ext>
          </a:extLst>
        </xdr:cNvPr>
        <xdr:cNvSpPr/>
      </xdr:nvSpPr>
      <xdr:spPr>
        <a:xfrm>
          <a:off x="4095750" y="1611923"/>
          <a:ext cx="2908789" cy="58615"/>
        </a:xfrm>
        <a:prstGeom prst="rect">
          <a:avLst/>
        </a:prstGeom>
        <a:solidFill>
          <a:schemeClr val="bg1"/>
        </a:solidFill>
        <a:ln>
          <a:no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pl-PL" sz="1100"/>
        </a:p>
      </xdr:txBody>
    </xdr:sp>
    <xdr:clientData/>
  </xdr:twoCellAnchor>
  <xdr:twoCellAnchor>
    <xdr:from>
      <xdr:col>14</xdr:col>
      <xdr:colOff>90119</xdr:colOff>
      <xdr:row>5</xdr:row>
      <xdr:rowOff>156063</xdr:rowOff>
    </xdr:from>
    <xdr:to>
      <xdr:col>14</xdr:col>
      <xdr:colOff>161191</xdr:colOff>
      <xdr:row>8</xdr:row>
      <xdr:rowOff>109904</xdr:rowOff>
    </xdr:to>
    <xdr:sp macro="" textlink="">
      <xdr:nvSpPr>
        <xdr:cNvPr id="43" name="Rectangle 42">
          <a:extLst>
            <a:ext uri="{FF2B5EF4-FFF2-40B4-BE49-F238E27FC236}">
              <a16:creationId xmlns:a16="http://schemas.microsoft.com/office/drawing/2014/main" id="{00000000-0008-0000-0000-00002B000000}"/>
            </a:ext>
          </a:extLst>
        </xdr:cNvPr>
        <xdr:cNvSpPr/>
      </xdr:nvSpPr>
      <xdr:spPr>
        <a:xfrm rot="5400000">
          <a:off x="6735638" y="1335698"/>
          <a:ext cx="525341" cy="71072"/>
        </a:xfrm>
        <a:prstGeom prst="rect">
          <a:avLst/>
        </a:prstGeom>
        <a:solidFill>
          <a:schemeClr val="bg1"/>
        </a:solidFill>
        <a:ln>
          <a:no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pl-PL" sz="1100"/>
        </a:p>
      </xdr:txBody>
    </xdr:sp>
    <xdr:clientData/>
  </xdr:twoCellAnchor>
  <xdr:twoCellAnchor>
    <xdr:from>
      <xdr:col>9</xdr:col>
      <xdr:colOff>243984</xdr:colOff>
      <xdr:row>5</xdr:row>
      <xdr:rowOff>134085</xdr:rowOff>
    </xdr:from>
    <xdr:to>
      <xdr:col>9</xdr:col>
      <xdr:colOff>322384</xdr:colOff>
      <xdr:row>8</xdr:row>
      <xdr:rowOff>87926</xdr:rowOff>
    </xdr:to>
    <xdr:sp macro="" textlink="">
      <xdr:nvSpPr>
        <xdr:cNvPr id="45" name="Rectangle 44">
          <a:extLst>
            <a:ext uri="{FF2B5EF4-FFF2-40B4-BE49-F238E27FC236}">
              <a16:creationId xmlns:a16="http://schemas.microsoft.com/office/drawing/2014/main" id="{00000000-0008-0000-0000-00002D000000}"/>
            </a:ext>
          </a:extLst>
        </xdr:cNvPr>
        <xdr:cNvSpPr/>
      </xdr:nvSpPr>
      <xdr:spPr>
        <a:xfrm rot="5400000">
          <a:off x="3852494" y="1310056"/>
          <a:ext cx="525341" cy="78400"/>
        </a:xfrm>
        <a:prstGeom prst="rect">
          <a:avLst/>
        </a:prstGeom>
        <a:solidFill>
          <a:schemeClr val="bg1"/>
        </a:solidFill>
        <a:ln>
          <a:no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pl-PL" sz="1100"/>
        </a:p>
      </xdr:txBody>
    </xdr:sp>
    <xdr:clientData/>
  </xdr:twoCellAnchor>
  <xdr:twoCellAnchor>
    <xdr:from>
      <xdr:col>3</xdr:col>
      <xdr:colOff>197827</xdr:colOff>
      <xdr:row>23</xdr:row>
      <xdr:rowOff>102577</xdr:rowOff>
    </xdr:from>
    <xdr:to>
      <xdr:col>5</xdr:col>
      <xdr:colOff>395654</xdr:colOff>
      <xdr:row>23</xdr:row>
      <xdr:rowOff>168519</xdr:rowOff>
    </xdr:to>
    <xdr:sp macro="" textlink="">
      <xdr:nvSpPr>
        <xdr:cNvPr id="46" name="Rectangle 45">
          <a:extLst>
            <a:ext uri="{FF2B5EF4-FFF2-40B4-BE49-F238E27FC236}">
              <a16:creationId xmlns:a16="http://schemas.microsoft.com/office/drawing/2014/main" id="{00000000-0008-0000-0000-00002E000000}"/>
            </a:ext>
          </a:extLst>
        </xdr:cNvPr>
        <xdr:cNvSpPr/>
      </xdr:nvSpPr>
      <xdr:spPr>
        <a:xfrm>
          <a:off x="381000" y="4484077"/>
          <a:ext cx="1414096" cy="65942"/>
        </a:xfrm>
        <a:prstGeom prst="rect">
          <a:avLst/>
        </a:prstGeom>
        <a:solidFill>
          <a:schemeClr val="bg1"/>
        </a:solidFill>
        <a:ln>
          <a:no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pl-PL" sz="1100"/>
        </a:p>
      </xdr:txBody>
    </xdr:sp>
    <xdr:clientData/>
  </xdr:twoCellAnchor>
  <xdr:twoCellAnchor>
    <xdr:from>
      <xdr:col>3</xdr:col>
      <xdr:colOff>219808</xdr:colOff>
      <xdr:row>28</xdr:row>
      <xdr:rowOff>146539</xdr:rowOff>
    </xdr:from>
    <xdr:to>
      <xdr:col>5</xdr:col>
      <xdr:colOff>417635</xdr:colOff>
      <xdr:row>29</xdr:row>
      <xdr:rowOff>21981</xdr:rowOff>
    </xdr:to>
    <xdr:sp macro="" textlink="">
      <xdr:nvSpPr>
        <xdr:cNvPr id="47" name="Rectangle 46">
          <a:extLst>
            <a:ext uri="{FF2B5EF4-FFF2-40B4-BE49-F238E27FC236}">
              <a16:creationId xmlns:a16="http://schemas.microsoft.com/office/drawing/2014/main" id="{00000000-0008-0000-0000-00002F000000}"/>
            </a:ext>
          </a:extLst>
        </xdr:cNvPr>
        <xdr:cNvSpPr/>
      </xdr:nvSpPr>
      <xdr:spPr>
        <a:xfrm>
          <a:off x="402981" y="5480539"/>
          <a:ext cx="1414096" cy="65942"/>
        </a:xfrm>
        <a:prstGeom prst="rect">
          <a:avLst/>
        </a:prstGeom>
        <a:solidFill>
          <a:schemeClr val="bg1"/>
        </a:solidFill>
        <a:ln>
          <a:no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pl-PL" sz="1100"/>
        </a:p>
      </xdr:txBody>
    </xdr:sp>
    <xdr:clientData/>
  </xdr:twoCellAnchor>
  <xdr:twoCellAnchor>
    <xdr:from>
      <xdr:col>5</xdr:col>
      <xdr:colOff>285750</xdr:colOff>
      <xdr:row>23</xdr:row>
      <xdr:rowOff>153864</xdr:rowOff>
    </xdr:from>
    <xdr:to>
      <xdr:col>5</xdr:col>
      <xdr:colOff>366345</xdr:colOff>
      <xdr:row>29</xdr:row>
      <xdr:rowOff>43961</xdr:rowOff>
    </xdr:to>
    <xdr:sp macro="" textlink="">
      <xdr:nvSpPr>
        <xdr:cNvPr id="53" name="Rectangle 52">
          <a:extLst>
            <a:ext uri="{FF2B5EF4-FFF2-40B4-BE49-F238E27FC236}">
              <a16:creationId xmlns:a16="http://schemas.microsoft.com/office/drawing/2014/main" id="{00000000-0008-0000-0000-000035000000}"/>
            </a:ext>
          </a:extLst>
        </xdr:cNvPr>
        <xdr:cNvSpPr/>
      </xdr:nvSpPr>
      <xdr:spPr>
        <a:xfrm rot="5400000">
          <a:off x="1208941" y="5011615"/>
          <a:ext cx="1033097" cy="80595"/>
        </a:xfrm>
        <a:prstGeom prst="rect">
          <a:avLst/>
        </a:prstGeom>
        <a:solidFill>
          <a:schemeClr val="bg1"/>
        </a:solidFill>
        <a:ln>
          <a:no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pl-PL" sz="1100"/>
        </a:p>
      </xdr:txBody>
    </xdr:sp>
    <xdr:clientData/>
  </xdr:twoCellAnchor>
  <xdr:twoCellAnchor>
    <xdr:from>
      <xdr:col>3</xdr:col>
      <xdr:colOff>190500</xdr:colOff>
      <xdr:row>23</xdr:row>
      <xdr:rowOff>95249</xdr:rowOff>
    </xdr:from>
    <xdr:to>
      <xdr:col>3</xdr:col>
      <xdr:colOff>271095</xdr:colOff>
      <xdr:row>28</xdr:row>
      <xdr:rowOff>175846</xdr:rowOff>
    </xdr:to>
    <xdr:sp macro="" textlink="">
      <xdr:nvSpPr>
        <xdr:cNvPr id="54" name="Rectangle 53">
          <a:extLst>
            <a:ext uri="{FF2B5EF4-FFF2-40B4-BE49-F238E27FC236}">
              <a16:creationId xmlns:a16="http://schemas.microsoft.com/office/drawing/2014/main" id="{00000000-0008-0000-0000-000036000000}"/>
            </a:ext>
          </a:extLst>
        </xdr:cNvPr>
        <xdr:cNvSpPr/>
      </xdr:nvSpPr>
      <xdr:spPr>
        <a:xfrm rot="5400000">
          <a:off x="-102578" y="4953000"/>
          <a:ext cx="1033097" cy="80595"/>
        </a:xfrm>
        <a:prstGeom prst="rect">
          <a:avLst/>
        </a:prstGeom>
        <a:solidFill>
          <a:schemeClr val="bg1"/>
        </a:solidFill>
        <a:ln>
          <a:no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pl-PL"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120099</xdr:colOff>
      <xdr:row>33</xdr:row>
      <xdr:rowOff>54014</xdr:rowOff>
    </xdr:from>
    <xdr:to>
      <xdr:col>3</xdr:col>
      <xdr:colOff>6600099</xdr:colOff>
      <xdr:row>33</xdr:row>
      <xdr:rowOff>3762014</xdr:rowOff>
    </xdr:to>
    <xdr:graphicFrame macro="">
      <xdr:nvGraphicFramePr>
        <xdr:cNvPr id="13" name="Chart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123824</xdr:colOff>
      <xdr:row>54</xdr:row>
      <xdr:rowOff>42537</xdr:rowOff>
    </xdr:from>
    <xdr:to>
      <xdr:col>3</xdr:col>
      <xdr:colOff>6603824</xdr:colOff>
      <xdr:row>54</xdr:row>
      <xdr:rowOff>3750537</xdr:rowOff>
    </xdr:to>
    <xdr:graphicFrame macro="">
      <xdr:nvGraphicFramePr>
        <xdr:cNvPr id="14" name="Chart 13">
          <a:extLst>
            <a:ext uri="{FF2B5EF4-FFF2-40B4-BE49-F238E27FC236}">
              <a16:creationId xmlns:a16="http://schemas.microsoft.com/office/drawing/2014/main" id="{00000000-0008-0000-02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0.16285</cdr:x>
      <cdr:y>0.02134</cdr:y>
    </cdr:from>
    <cdr:to>
      <cdr:x>0.43334</cdr:x>
      <cdr:y>0.07426</cdr:y>
    </cdr:to>
    <cdr:sp macro="" textlink="">
      <cdr:nvSpPr>
        <cdr:cNvPr id="2" name="TextBox 1">
          <a:extLst xmlns:a="http://schemas.openxmlformats.org/drawingml/2006/main">
            <a:ext uri="{FF2B5EF4-FFF2-40B4-BE49-F238E27FC236}">
              <a16:creationId xmlns:a16="http://schemas.microsoft.com/office/drawing/2014/main" id="{35AE960E-9236-4940-A39C-3E2CC9278EB5}"/>
            </a:ext>
          </a:extLst>
        </cdr:cNvPr>
        <cdr:cNvSpPr txBox="1"/>
      </cdr:nvSpPr>
      <cdr:spPr>
        <a:xfrm xmlns:a="http://schemas.openxmlformats.org/drawingml/2006/main">
          <a:off x="1055268" y="79019"/>
          <a:ext cx="1752775" cy="1959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pl-PL" sz="1100"/>
        </a:p>
      </cdr:txBody>
    </cdr:sp>
  </cdr:relSizeAnchor>
  <cdr:relSizeAnchor xmlns:cdr="http://schemas.openxmlformats.org/drawingml/2006/chartDrawing">
    <cdr:from>
      <cdr:x>0.30548</cdr:x>
      <cdr:y>0.03329</cdr:y>
    </cdr:from>
    <cdr:to>
      <cdr:x>0.86335</cdr:x>
      <cdr:y>0.09384</cdr:y>
    </cdr:to>
    <cdr:grpSp>
      <cdr:nvGrpSpPr>
        <cdr:cNvPr id="3" name="Group 2">
          <a:extLst xmlns:a="http://schemas.openxmlformats.org/drawingml/2006/main">
            <a:ext uri="{FF2B5EF4-FFF2-40B4-BE49-F238E27FC236}">
              <a16:creationId xmlns:a16="http://schemas.microsoft.com/office/drawing/2014/main" id="{9B6F84DB-FD69-4CDC-A7AB-61843A1387F9}"/>
            </a:ext>
          </a:extLst>
        </cdr:cNvPr>
        <cdr:cNvGrpSpPr/>
      </cdr:nvGrpSpPr>
      <cdr:grpSpPr>
        <a:xfrm xmlns:a="http://schemas.openxmlformats.org/drawingml/2006/main">
          <a:off x="1979519" y="123455"/>
          <a:ext cx="3614998" cy="224520"/>
          <a:chOff x="0" y="0"/>
          <a:chExt cx="3614962" cy="207065"/>
        </a:xfrm>
      </cdr:grpSpPr>
      <cdr:sp macro="" textlink="">
        <cdr:nvSpPr>
          <cdr:cNvPr id="4" name="Rectangle 3">
            <a:extLst xmlns:a="http://schemas.openxmlformats.org/drawingml/2006/main">
              <a:ext uri="{FF2B5EF4-FFF2-40B4-BE49-F238E27FC236}">
                <a16:creationId xmlns:a16="http://schemas.microsoft.com/office/drawing/2014/main" id="{981EDEEB-19C7-4BFA-8128-401E7F3CFEC6}"/>
              </a:ext>
            </a:extLst>
          </cdr:cNvPr>
          <cdr:cNvSpPr/>
        </cdr:nvSpPr>
        <cdr:spPr>
          <a:xfrm xmlns:a="http://schemas.openxmlformats.org/drawingml/2006/main">
            <a:off x="0" y="38182"/>
            <a:ext cx="144000" cy="130701"/>
          </a:xfrm>
          <a:prstGeom xmlns:a="http://schemas.openxmlformats.org/drawingml/2006/main" prst="rect">
            <a:avLst/>
          </a:prstGeom>
          <a:solidFill xmlns:a="http://schemas.openxmlformats.org/drawingml/2006/main">
            <a:schemeClr val="tx2"/>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pl-PL"/>
          </a:p>
        </cdr:txBody>
      </cdr:sp>
      <cdr:sp macro="" textlink="">
        <cdr:nvSpPr>
          <cdr:cNvPr id="5" name="Rectangle 4">
            <a:extLst xmlns:a="http://schemas.openxmlformats.org/drawingml/2006/main">
              <a:ext uri="{FF2B5EF4-FFF2-40B4-BE49-F238E27FC236}">
                <a16:creationId xmlns:a16="http://schemas.microsoft.com/office/drawing/2014/main" id="{BCE64EA1-172E-4D52-BCA4-EBD1878A72DB}"/>
              </a:ext>
            </a:extLst>
          </cdr:cNvPr>
          <cdr:cNvSpPr/>
        </cdr:nvSpPr>
        <cdr:spPr>
          <a:xfrm xmlns:a="http://schemas.openxmlformats.org/drawingml/2006/main">
            <a:off x="1788371" y="38182"/>
            <a:ext cx="144000" cy="130701"/>
          </a:xfrm>
          <a:prstGeom xmlns:a="http://schemas.openxmlformats.org/drawingml/2006/main" prst="rect">
            <a:avLst/>
          </a:prstGeom>
          <a:solidFill xmlns:a="http://schemas.openxmlformats.org/drawingml/2006/main">
            <a:schemeClr val="accent4">
              <a:lumMod val="60000"/>
              <a:lumOff val="4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pl-PL"/>
          </a:p>
        </cdr:txBody>
      </cdr:sp>
      <cdr:sp macro="" textlink="">
        <cdr:nvSpPr>
          <cdr:cNvPr id="6" name="TextBox 4">
            <a:extLst xmlns:a="http://schemas.openxmlformats.org/drawingml/2006/main">
              <a:ext uri="{FF2B5EF4-FFF2-40B4-BE49-F238E27FC236}">
                <a16:creationId xmlns:a16="http://schemas.microsoft.com/office/drawing/2014/main" id="{73C3847C-F731-4346-BBBA-9D4FFC61C02C}"/>
              </a:ext>
            </a:extLst>
          </cdr:cNvPr>
          <cdr:cNvSpPr txBox="1"/>
        </cdr:nvSpPr>
        <cdr:spPr>
          <a:xfrm xmlns:a="http://schemas.openxmlformats.org/drawingml/2006/main">
            <a:off x="124238" y="0"/>
            <a:ext cx="1449456" cy="207065"/>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pl-PL" sz="900">
                <a:latin typeface="Arial" panose="020B0604020202020204" pitchFamily="34" charset="0"/>
                <a:cs typeface="Arial" panose="020B0604020202020204" pitchFamily="34" charset="0"/>
              </a:rPr>
              <a:t>Sum of cases</a:t>
            </a:r>
          </a:p>
        </cdr:txBody>
      </cdr:sp>
      <cdr:sp macro="" textlink="">
        <cdr:nvSpPr>
          <cdr:cNvPr id="7" name="TextBox 5">
            <a:extLst xmlns:a="http://schemas.openxmlformats.org/drawingml/2006/main">
              <a:ext uri="{FF2B5EF4-FFF2-40B4-BE49-F238E27FC236}">
                <a16:creationId xmlns:a16="http://schemas.microsoft.com/office/drawing/2014/main" id="{8FF163A6-96E2-46BD-8F93-7E796BBBE5D5}"/>
              </a:ext>
            </a:extLst>
          </cdr:cNvPr>
          <cdr:cNvSpPr txBox="1"/>
        </cdr:nvSpPr>
        <cdr:spPr>
          <a:xfrm xmlns:a="http://schemas.openxmlformats.org/drawingml/2006/main">
            <a:off x="1915765" y="20075"/>
            <a:ext cx="1699197" cy="166915"/>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pl-PL" sz="900">
                <a:latin typeface="Arial" panose="020B0604020202020204" pitchFamily="34" charset="0"/>
                <a:cs typeface="Arial" panose="020B0604020202020204" pitchFamily="34" charset="0"/>
              </a:rPr>
              <a:t>Average resolution time [min]</a:t>
            </a:r>
          </a:p>
        </cdr:txBody>
      </cdr:sp>
    </cdr:grpSp>
  </cdr:relSizeAnchor>
</c:userShapes>
</file>

<file path=xl/drawings/drawing4.xml><?xml version="1.0" encoding="utf-8"?>
<c:userShapes xmlns:c="http://schemas.openxmlformats.org/drawingml/2006/chart">
  <cdr:relSizeAnchor xmlns:cdr="http://schemas.openxmlformats.org/drawingml/2006/chartDrawing">
    <cdr:from>
      <cdr:x>0.30586</cdr:x>
      <cdr:y>0.02416</cdr:y>
    </cdr:from>
    <cdr:to>
      <cdr:x>0.97191</cdr:x>
      <cdr:y>0.08598</cdr:y>
    </cdr:to>
    <cdr:grpSp>
      <cdr:nvGrpSpPr>
        <cdr:cNvPr id="7" name="Group 6">
          <a:extLst xmlns:a="http://schemas.openxmlformats.org/drawingml/2006/main">
            <a:ext uri="{FF2B5EF4-FFF2-40B4-BE49-F238E27FC236}">
              <a16:creationId xmlns:a16="http://schemas.microsoft.com/office/drawing/2014/main" id="{2D1C3565-7E1D-49D9-972B-D3B6D54C8F33}"/>
            </a:ext>
          </a:extLst>
        </cdr:cNvPr>
        <cdr:cNvGrpSpPr/>
      </cdr:nvGrpSpPr>
      <cdr:grpSpPr>
        <a:xfrm xmlns:a="http://schemas.openxmlformats.org/drawingml/2006/main">
          <a:off x="1982563" y="89647"/>
          <a:ext cx="4317273" cy="229347"/>
          <a:chOff x="2428581" y="115958"/>
          <a:chExt cx="4316069" cy="207065"/>
        </a:xfrm>
      </cdr:grpSpPr>
      <cdr:sp macro="" textlink="">
        <cdr:nvSpPr>
          <cdr:cNvPr id="3" name="Rectangle 2">
            <a:extLst xmlns:a="http://schemas.openxmlformats.org/drawingml/2006/main">
              <a:ext uri="{FF2B5EF4-FFF2-40B4-BE49-F238E27FC236}">
                <a16:creationId xmlns:a16="http://schemas.microsoft.com/office/drawing/2014/main" id="{F80CB770-754B-4D2A-9D19-A376B37100F6}"/>
              </a:ext>
            </a:extLst>
          </cdr:cNvPr>
          <cdr:cNvSpPr/>
        </cdr:nvSpPr>
        <cdr:spPr>
          <a:xfrm xmlns:a="http://schemas.openxmlformats.org/drawingml/2006/main">
            <a:off x="2428581" y="143023"/>
            <a:ext cx="144000" cy="144000"/>
          </a:xfrm>
          <a:prstGeom xmlns:a="http://schemas.openxmlformats.org/drawingml/2006/main" prst="rect">
            <a:avLst/>
          </a:prstGeom>
          <a:solidFill xmlns:a="http://schemas.openxmlformats.org/drawingml/2006/main">
            <a:schemeClr val="tx2"/>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pl-PL"/>
          </a:p>
        </cdr:txBody>
      </cdr:sp>
      <cdr:sp macro="" textlink="">
        <cdr:nvSpPr>
          <cdr:cNvPr id="4" name="Rectangle 3">
            <a:extLst xmlns:a="http://schemas.openxmlformats.org/drawingml/2006/main">
              <a:ext uri="{FF2B5EF4-FFF2-40B4-BE49-F238E27FC236}">
                <a16:creationId xmlns:a16="http://schemas.microsoft.com/office/drawing/2014/main" id="{CA381012-EED1-4F48-8C99-17068C691ECD}"/>
              </a:ext>
            </a:extLst>
          </cdr:cNvPr>
          <cdr:cNvSpPr/>
        </cdr:nvSpPr>
        <cdr:spPr>
          <a:xfrm xmlns:a="http://schemas.openxmlformats.org/drawingml/2006/main">
            <a:off x="4216952" y="143023"/>
            <a:ext cx="144000" cy="144000"/>
          </a:xfrm>
          <a:prstGeom xmlns:a="http://schemas.openxmlformats.org/drawingml/2006/main" prst="rect">
            <a:avLst/>
          </a:prstGeom>
          <a:solidFill xmlns:a="http://schemas.openxmlformats.org/drawingml/2006/main">
            <a:schemeClr val="accent4">
              <a:lumMod val="60000"/>
              <a:lumOff val="4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pl-PL"/>
          </a:p>
        </cdr:txBody>
      </cdr:sp>
      <cdr:sp macro="" textlink="">
        <cdr:nvSpPr>
          <cdr:cNvPr id="5" name="TextBox 4">
            <a:extLst xmlns:a="http://schemas.openxmlformats.org/drawingml/2006/main">
              <a:ext uri="{FF2B5EF4-FFF2-40B4-BE49-F238E27FC236}">
                <a16:creationId xmlns:a16="http://schemas.microsoft.com/office/drawing/2014/main" id="{EFEEE2AF-586B-46CF-BED2-36FB7F20307F}"/>
              </a:ext>
            </a:extLst>
          </cdr:cNvPr>
          <cdr:cNvSpPr txBox="1"/>
        </cdr:nvSpPr>
        <cdr:spPr>
          <a:xfrm xmlns:a="http://schemas.openxmlformats.org/drawingml/2006/main">
            <a:off x="2552819" y="115958"/>
            <a:ext cx="1624574" cy="193767"/>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l"/>
            <a:r>
              <a:rPr lang="pl-PL" sz="900" spc="10" baseline="0">
                <a:latin typeface="Arial" panose="020B0604020202020204" pitchFamily="34" charset="0"/>
                <a:cs typeface="Arial" panose="020B0604020202020204" pitchFamily="34" charset="0"/>
              </a:rPr>
              <a:t>In warranty percentage</a:t>
            </a:r>
          </a:p>
        </cdr:txBody>
      </cdr:sp>
      <cdr:sp macro="" textlink="">
        <cdr:nvSpPr>
          <cdr:cNvPr id="6" name="TextBox 5">
            <a:extLst xmlns:a="http://schemas.openxmlformats.org/drawingml/2006/main">
              <a:ext uri="{FF2B5EF4-FFF2-40B4-BE49-F238E27FC236}">
                <a16:creationId xmlns:a16="http://schemas.microsoft.com/office/drawing/2014/main" id="{76254760-83BE-459B-89E1-5569DDA74BFB}"/>
              </a:ext>
            </a:extLst>
          </cdr:cNvPr>
          <cdr:cNvSpPr txBox="1"/>
        </cdr:nvSpPr>
        <cdr:spPr>
          <a:xfrm xmlns:a="http://schemas.openxmlformats.org/drawingml/2006/main">
            <a:off x="4325297" y="115958"/>
            <a:ext cx="2419353" cy="20706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l"/>
            <a:r>
              <a:rPr lang="pl-PL" sz="900" spc="10" baseline="0">
                <a:latin typeface="Arial" panose="020B0604020202020204" pitchFamily="34" charset="0"/>
                <a:cs typeface="Arial" panose="020B0604020202020204" pitchFamily="34" charset="0"/>
              </a:rPr>
              <a:t>Post warranty percentage</a:t>
            </a:r>
          </a:p>
        </cdr:txBody>
      </cdr:sp>
    </cdr:grp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dronek" refreshedDate="44405.802995601851" createdVersion="7" refreshedVersion="7" minRefreshableVersion="3" recordCount="23" xr:uid="{6E2962BA-DAA3-45FC-BF0B-58F778BFE007}">
  <cacheSource type="worksheet">
    <worksheetSource name="technical_support_data"/>
  </cacheSource>
  <cacheFields count="10">
    <cacheField name="No" numFmtId="0">
      <sharedItems containsSemiMixedTypes="0" containsString="0" containsNumber="1" containsInteger="1" minValue="1" maxValue="23"/>
    </cacheField>
    <cacheField name="PROBLEM_TYPE" numFmtId="0">
      <sharedItems count="23">
        <s v="Temperature control not working"/>
        <s v="power chord does not tightly fit"/>
        <s v="Fan swing not working"/>
        <s v="Main switch does not on"/>
        <s v="Forgot mobile app password"/>
        <s v="AC stops abruptly"/>
        <s v="App hangs while entring commands"/>
        <s v="App takes a long time to initialize"/>
        <s v="Unable to connect the App to the device"/>
        <s v="Reinstalling the app hangs the phone"/>
        <s v="Mobile screen blanks on use of phone"/>
        <s v="Cluttered with popup messages"/>
        <s v="AC controller sofware missing"/>
        <s v="AC remote does not  work"/>
        <s v="Remote Keys get stuck "/>
        <s v="Unable to operate menu from remote"/>
        <s v="Motor noise from the system "/>
        <s v="Freshner holder stuck "/>
        <s v="Factory settings not working"/>
        <s v="WIFI connectivity breaks "/>
        <s v="Battery backup does not get fully charged"/>
        <s v="Battery does not last full 8 hrs"/>
        <s v="Fan speed varies at on its own"/>
      </sharedItems>
    </cacheField>
    <cacheField name="Category" numFmtId="0">
      <sharedItems count="3">
        <s v="Device"/>
        <s v="App"/>
        <s v="Remote"/>
      </sharedItems>
    </cacheField>
    <cacheField name="no_of_cases" numFmtId="0">
      <sharedItems containsSemiMixedTypes="0" containsString="0" containsNumber="1" containsInteger="1" minValue="3" maxValue="520" count="22">
        <n v="170"/>
        <n v="12"/>
        <n v="5"/>
        <n v="3"/>
        <n v="45"/>
        <n v="47"/>
        <n v="165"/>
        <n v="321"/>
        <n v="22"/>
        <n v="23"/>
        <n v="230"/>
        <n v="193"/>
        <n v="24"/>
        <n v="450"/>
        <n v="520"/>
        <n v="390"/>
        <n v="140"/>
        <n v="72"/>
        <n v="290"/>
        <n v="29"/>
        <n v="43"/>
        <n v="78"/>
      </sharedItems>
    </cacheField>
    <cacheField name="Avg_pending_calls" numFmtId="0">
      <sharedItems count="14">
        <s v="1.3"/>
        <s v="2"/>
        <s v="1"/>
        <s v="2.3"/>
        <s v="3.1"/>
        <s v="4"/>
        <s v="1.2"/>
        <s v="3.3"/>
        <s v="4.3"/>
        <s v="2.8"/>
        <s v="1.7"/>
        <s v="1.1"/>
        <s v="2.2"/>
        <s v="2.1"/>
      </sharedItems>
    </cacheField>
    <cacheField name="Avg_resol_time" numFmtId="0">
      <sharedItems containsSemiMixedTypes="0" containsString="0" containsNumber="1" containsInteger="1" minValue="5" maxValue="180" count="20">
        <n v="32"/>
        <n v="150"/>
        <n v="35"/>
        <n v="8"/>
        <n v="54"/>
        <n v="132"/>
        <n v="154"/>
        <n v="5"/>
        <n v="140"/>
        <n v="143"/>
        <n v="23"/>
        <n v="33"/>
        <n v="180"/>
        <n v="7"/>
        <n v="9"/>
        <n v="125"/>
        <n v="11"/>
        <n v="45"/>
        <n v="56"/>
        <n v="44"/>
      </sharedItems>
    </cacheField>
    <cacheField name="recurrence_freq" numFmtId="0">
      <sharedItems/>
    </cacheField>
    <cacheField name="Replace_percent" numFmtId="0">
      <sharedItems/>
    </cacheField>
    <cacheField name="In_warranty_percent" numFmtId="0">
      <sharedItems containsSemiMixedTypes="0" containsString="0" containsNumber="1" containsInteger="1" minValue="5" maxValue="100" count="9">
        <n v="75"/>
        <n v="5"/>
        <n v="90"/>
        <n v="99"/>
        <n v="100"/>
        <n v="95"/>
        <n v="60"/>
        <n v="10"/>
        <n v="50"/>
      </sharedItems>
    </cacheField>
    <cacheField name="Post_warranty_percent" numFmtId="0">
      <sharedItems containsSemiMixedTypes="0" containsString="0" containsNumber="1" containsInteger="1" minValue="0" maxValue="95"/>
    </cacheField>
  </cacheFields>
  <extLst>
    <ext xmlns:x14="http://schemas.microsoft.com/office/spreadsheetml/2009/9/main" uri="{725AE2AE-9491-48be-B2B4-4EB974FC3084}">
      <x14:pivotCacheDefinition pivotCacheId="8763765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1"/>
    <x v="0"/>
    <x v="0"/>
    <x v="0"/>
    <x v="0"/>
    <x v="0"/>
    <s v="0.04"/>
    <s v="0"/>
    <x v="0"/>
    <n v="25"/>
  </r>
  <r>
    <n v="2"/>
    <x v="1"/>
    <x v="0"/>
    <x v="1"/>
    <x v="1"/>
    <x v="1"/>
    <s v="0.01"/>
    <s v="0.5"/>
    <x v="1"/>
    <n v="95"/>
  </r>
  <r>
    <n v="3"/>
    <x v="2"/>
    <x v="0"/>
    <x v="2"/>
    <x v="2"/>
    <x v="2"/>
    <s v="0.02"/>
    <s v="0.2"/>
    <x v="2"/>
    <n v="10"/>
  </r>
  <r>
    <n v="4"/>
    <x v="3"/>
    <x v="0"/>
    <x v="3"/>
    <x v="1"/>
    <x v="3"/>
    <s v="0.01"/>
    <s v="0.7"/>
    <x v="1"/>
    <n v="95"/>
  </r>
  <r>
    <n v="5"/>
    <x v="4"/>
    <x v="1"/>
    <x v="4"/>
    <x v="3"/>
    <x v="4"/>
    <s v="0.15"/>
    <s v="0"/>
    <x v="3"/>
    <n v="1"/>
  </r>
  <r>
    <n v="6"/>
    <x v="5"/>
    <x v="0"/>
    <x v="5"/>
    <x v="4"/>
    <x v="5"/>
    <s v="0.3"/>
    <s v="0.03"/>
    <x v="4"/>
    <n v="0"/>
  </r>
  <r>
    <n v="7"/>
    <x v="6"/>
    <x v="1"/>
    <x v="1"/>
    <x v="5"/>
    <x v="6"/>
    <s v="0.02"/>
    <s v="0.05"/>
    <x v="4"/>
    <n v="0"/>
  </r>
  <r>
    <n v="8"/>
    <x v="7"/>
    <x v="1"/>
    <x v="6"/>
    <x v="6"/>
    <x v="0"/>
    <s v="0.03"/>
    <s v="0"/>
    <x v="5"/>
    <n v="5"/>
  </r>
  <r>
    <n v="9"/>
    <x v="8"/>
    <x v="1"/>
    <x v="7"/>
    <x v="2"/>
    <x v="7"/>
    <s v="0.21"/>
    <s v="0"/>
    <x v="6"/>
    <n v="40"/>
  </r>
  <r>
    <n v="10"/>
    <x v="9"/>
    <x v="1"/>
    <x v="8"/>
    <x v="7"/>
    <x v="8"/>
    <s v="0.14"/>
    <s v="0.01"/>
    <x v="5"/>
    <n v="5"/>
  </r>
  <r>
    <n v="11"/>
    <x v="10"/>
    <x v="1"/>
    <x v="9"/>
    <x v="8"/>
    <x v="9"/>
    <s v="0.21"/>
    <s v="0.06"/>
    <x v="4"/>
    <n v="0"/>
  </r>
  <r>
    <n v="12"/>
    <x v="11"/>
    <x v="1"/>
    <x v="10"/>
    <x v="0"/>
    <x v="10"/>
    <s v="0.02"/>
    <s v="0"/>
    <x v="7"/>
    <n v="90"/>
  </r>
  <r>
    <n v="13"/>
    <x v="12"/>
    <x v="2"/>
    <x v="11"/>
    <x v="6"/>
    <x v="11"/>
    <s v="0.03"/>
    <s v="0"/>
    <x v="4"/>
    <n v="0"/>
  </r>
  <r>
    <n v="14"/>
    <x v="13"/>
    <x v="2"/>
    <x v="12"/>
    <x v="9"/>
    <x v="12"/>
    <s v="0.04"/>
    <s v="0"/>
    <x v="4"/>
    <n v="0"/>
  </r>
  <r>
    <n v="15"/>
    <x v="14"/>
    <x v="2"/>
    <x v="13"/>
    <x v="2"/>
    <x v="3"/>
    <s v="0.25"/>
    <s v="0"/>
    <x v="4"/>
    <n v="0"/>
  </r>
  <r>
    <n v="16"/>
    <x v="15"/>
    <x v="2"/>
    <x v="14"/>
    <x v="2"/>
    <x v="13"/>
    <s v="0.28"/>
    <s v="0"/>
    <x v="4"/>
    <n v="0"/>
  </r>
  <r>
    <n v="17"/>
    <x v="16"/>
    <x v="0"/>
    <x v="15"/>
    <x v="2"/>
    <x v="14"/>
    <s v="0.27"/>
    <s v="0"/>
    <x v="1"/>
    <n v="95"/>
  </r>
  <r>
    <n v="18"/>
    <x v="17"/>
    <x v="0"/>
    <x v="16"/>
    <x v="10"/>
    <x v="10"/>
    <s v="0.05"/>
    <s v="0.04"/>
    <x v="6"/>
    <n v="40"/>
  </r>
  <r>
    <n v="19"/>
    <x v="18"/>
    <x v="0"/>
    <x v="17"/>
    <x v="3"/>
    <x v="15"/>
    <s v="0.02"/>
    <s v="0"/>
    <x v="4"/>
    <n v="0"/>
  </r>
  <r>
    <n v="20"/>
    <x v="19"/>
    <x v="0"/>
    <x v="18"/>
    <x v="11"/>
    <x v="16"/>
    <s v="0.22"/>
    <s v="0"/>
    <x v="2"/>
    <n v="10"/>
  </r>
  <r>
    <n v="21"/>
    <x v="20"/>
    <x v="2"/>
    <x v="19"/>
    <x v="12"/>
    <x v="17"/>
    <s v="0.35"/>
    <s v="0.22"/>
    <x v="8"/>
    <n v="50"/>
  </r>
  <r>
    <n v="22"/>
    <x v="21"/>
    <x v="2"/>
    <x v="20"/>
    <x v="13"/>
    <x v="18"/>
    <s v="0.31"/>
    <s v="0.28"/>
    <x v="6"/>
    <n v="40"/>
  </r>
  <r>
    <n v="23"/>
    <x v="22"/>
    <x v="0"/>
    <x v="21"/>
    <x v="12"/>
    <x v="19"/>
    <s v="0.19"/>
    <s v="0.21"/>
    <x v="7"/>
    <n v="9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95B6B16-70DA-4E98-BAEE-BCD675FE6E13}" name="warranty_PT"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
  <location ref="A39:C45" firstHeaderRow="0" firstDataRow="1" firstDataCol="1" rowPageCount="1" colPageCount="1"/>
  <pivotFields count="10">
    <pivotField showAll="0"/>
    <pivotField axis="axisRow" showAll="0">
      <items count="24">
        <item x="12"/>
        <item x="13"/>
        <item x="5"/>
        <item x="6"/>
        <item x="7"/>
        <item x="20"/>
        <item x="21"/>
        <item x="11"/>
        <item x="18"/>
        <item x="22"/>
        <item x="2"/>
        <item x="4"/>
        <item x="17"/>
        <item x="3"/>
        <item x="10"/>
        <item x="16"/>
        <item x="1"/>
        <item x="9"/>
        <item x="14"/>
        <item x="0"/>
        <item x="8"/>
        <item x="15"/>
        <item x="19"/>
        <item t="default"/>
      </items>
    </pivotField>
    <pivotField axis="axisPage" showAll="0">
      <items count="4">
        <item x="1"/>
        <item x="0"/>
        <item x="2"/>
        <item t="default"/>
      </items>
    </pivotField>
    <pivotField showAll="0">
      <items count="23">
        <item x="3"/>
        <item x="2"/>
        <item x="1"/>
        <item x="8"/>
        <item x="9"/>
        <item x="12"/>
        <item x="19"/>
        <item x="20"/>
        <item x="4"/>
        <item x="5"/>
        <item x="17"/>
        <item x="21"/>
        <item x="16"/>
        <item x="6"/>
        <item x="0"/>
        <item x="11"/>
        <item x="10"/>
        <item x="18"/>
        <item x="7"/>
        <item x="15"/>
        <item x="13"/>
        <item x="14"/>
        <item t="default"/>
      </items>
    </pivotField>
    <pivotField showAll="0"/>
    <pivotField showAll="0"/>
    <pivotField showAll="0"/>
    <pivotField showAll="0"/>
    <pivotField dataField="1" showAll="0">
      <items count="10">
        <item x="1"/>
        <item x="7"/>
        <item x="8"/>
        <item x="6"/>
        <item x="0"/>
        <item x="2"/>
        <item x="5"/>
        <item x="3"/>
        <item x="4"/>
        <item t="default"/>
      </items>
    </pivotField>
    <pivotField dataField="1" showAll="0"/>
  </pivotFields>
  <rowFields count="1">
    <field x="1"/>
  </rowFields>
  <rowItems count="6">
    <i>
      <x/>
    </i>
    <i>
      <x v="1"/>
    </i>
    <i>
      <x v="5"/>
    </i>
    <i>
      <x v="6"/>
    </i>
    <i>
      <x v="18"/>
    </i>
    <i>
      <x v="21"/>
    </i>
  </rowItems>
  <colFields count="1">
    <field x="-2"/>
  </colFields>
  <colItems count="2">
    <i>
      <x/>
    </i>
    <i i="1">
      <x v="1"/>
    </i>
  </colItems>
  <pageFields count="1">
    <pageField fld="2" item="2" hier="-1"/>
  </pageFields>
  <dataFields count="2">
    <dataField name="Sum of In_warranty_percent" fld="8" baseField="0" baseItem="0"/>
    <dataField name="Sum of Post_warranty_percent" fld="9" baseField="0" baseItem="0"/>
  </dataFields>
  <chartFormats count="16">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pivotArea type="data" outline="0" fieldPosition="0">
        <references count="2">
          <reference field="4294967294" count="1" selected="0">
            <x v="0"/>
          </reference>
          <reference field="1" count="1" selected="0">
            <x v="3"/>
          </reference>
        </references>
      </pivotArea>
    </chartFormat>
    <chartFormat chart="1" format="3">
      <pivotArea type="data" outline="0" fieldPosition="0">
        <references count="2">
          <reference field="4294967294" count="1" selected="0">
            <x v="0"/>
          </reference>
          <reference field="1" count="1" selected="0">
            <x v="4"/>
          </reference>
        </references>
      </pivotArea>
    </chartFormat>
    <chartFormat chart="1" format="4">
      <pivotArea type="data" outline="0" fieldPosition="0">
        <references count="2">
          <reference field="4294967294" count="1" selected="0">
            <x v="0"/>
          </reference>
          <reference field="1" count="1" selected="0">
            <x v="7"/>
          </reference>
        </references>
      </pivotArea>
    </chartFormat>
    <chartFormat chart="1" format="5">
      <pivotArea type="data" outline="0" fieldPosition="0">
        <references count="2">
          <reference field="4294967294" count="1" selected="0">
            <x v="0"/>
          </reference>
          <reference field="1" count="1" selected="0">
            <x v="11"/>
          </reference>
        </references>
      </pivotArea>
    </chartFormat>
    <chartFormat chart="1" format="6">
      <pivotArea type="data" outline="0" fieldPosition="0">
        <references count="2">
          <reference field="4294967294" count="1" selected="0">
            <x v="0"/>
          </reference>
          <reference field="1" count="1" selected="0">
            <x v="14"/>
          </reference>
        </references>
      </pivotArea>
    </chartFormat>
    <chartFormat chart="1" format="7">
      <pivotArea type="data" outline="0" fieldPosition="0">
        <references count="2">
          <reference field="4294967294" count="1" selected="0">
            <x v="0"/>
          </reference>
          <reference field="1" count="1" selected="0">
            <x v="17"/>
          </reference>
        </references>
      </pivotArea>
    </chartFormat>
    <chartFormat chart="1" format="8">
      <pivotArea type="data" outline="0" fieldPosition="0">
        <references count="2">
          <reference field="4294967294" count="1" selected="0">
            <x v="0"/>
          </reference>
          <reference field="1" count="1" selected="0">
            <x v="20"/>
          </reference>
        </references>
      </pivotArea>
    </chartFormat>
    <chartFormat chart="1" format="9">
      <pivotArea type="data" outline="0" fieldPosition="0">
        <references count="2">
          <reference field="4294967294" count="1" selected="0">
            <x v="1"/>
          </reference>
          <reference field="1" count="1" selected="0">
            <x v="3"/>
          </reference>
        </references>
      </pivotArea>
    </chartFormat>
    <chartFormat chart="1" format="10">
      <pivotArea type="data" outline="0" fieldPosition="0">
        <references count="2">
          <reference field="4294967294" count="1" selected="0">
            <x v="1"/>
          </reference>
          <reference field="1" count="1" selected="0">
            <x v="4"/>
          </reference>
        </references>
      </pivotArea>
    </chartFormat>
    <chartFormat chart="1" format="11">
      <pivotArea type="data" outline="0" fieldPosition="0">
        <references count="2">
          <reference field="4294967294" count="1" selected="0">
            <x v="1"/>
          </reference>
          <reference field="1" count="1" selected="0">
            <x v="7"/>
          </reference>
        </references>
      </pivotArea>
    </chartFormat>
    <chartFormat chart="1" format="12">
      <pivotArea type="data" outline="0" fieldPosition="0">
        <references count="2">
          <reference field="4294967294" count="1" selected="0">
            <x v="1"/>
          </reference>
          <reference field="1" count="1" selected="0">
            <x v="11"/>
          </reference>
        </references>
      </pivotArea>
    </chartFormat>
    <chartFormat chart="1" format="13">
      <pivotArea type="data" outline="0" fieldPosition="0">
        <references count="2">
          <reference field="4294967294" count="1" selected="0">
            <x v="1"/>
          </reference>
          <reference field="1" count="1" selected="0">
            <x v="14"/>
          </reference>
        </references>
      </pivotArea>
    </chartFormat>
    <chartFormat chart="1" format="14">
      <pivotArea type="data" outline="0" fieldPosition="0">
        <references count="2">
          <reference field="4294967294" count="1" selected="0">
            <x v="1"/>
          </reference>
          <reference field="1" count="1" selected="0">
            <x v="17"/>
          </reference>
        </references>
      </pivotArea>
    </chartFormat>
    <chartFormat chart="1" format="15">
      <pivotArea type="data" outline="0" fieldPosition="0">
        <references count="2">
          <reference field="4294967294" count="1" selected="0">
            <x v="1"/>
          </reference>
          <reference field="1" count="1" selected="0">
            <x v="2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08EFDB8-C5B7-450C-9083-812541EC063E}" name="sum_avg_PT"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
  <location ref="A19:C25" firstHeaderRow="0" firstDataRow="1" firstDataCol="1" rowPageCount="1" colPageCount="1"/>
  <pivotFields count="10">
    <pivotField showAll="0"/>
    <pivotField axis="axisRow" showAll="0">
      <items count="24">
        <item x="12"/>
        <item x="13"/>
        <item x="5"/>
        <item x="6"/>
        <item x="7"/>
        <item x="20"/>
        <item x="21"/>
        <item x="11"/>
        <item x="18"/>
        <item x="22"/>
        <item x="2"/>
        <item x="4"/>
        <item x="17"/>
        <item x="3"/>
        <item x="10"/>
        <item x="16"/>
        <item x="1"/>
        <item x="9"/>
        <item x="14"/>
        <item x="0"/>
        <item x="8"/>
        <item x="15"/>
        <item x="19"/>
        <item t="default"/>
      </items>
    </pivotField>
    <pivotField axis="axisPage" showAll="0">
      <items count="4">
        <item x="1"/>
        <item x="0"/>
        <item x="2"/>
        <item t="default"/>
      </items>
    </pivotField>
    <pivotField dataField="1" showAll="0">
      <items count="23">
        <item x="3"/>
        <item x="2"/>
        <item x="1"/>
        <item x="8"/>
        <item x="9"/>
        <item x="12"/>
        <item x="19"/>
        <item x="20"/>
        <item x="4"/>
        <item x="5"/>
        <item x="17"/>
        <item x="21"/>
        <item x="16"/>
        <item x="6"/>
        <item x="0"/>
        <item x="11"/>
        <item x="10"/>
        <item x="18"/>
        <item x="7"/>
        <item x="15"/>
        <item x="13"/>
        <item x="14"/>
        <item t="default"/>
      </items>
    </pivotField>
    <pivotField showAll="0"/>
    <pivotField dataField="1" showAll="0"/>
    <pivotField showAll="0"/>
    <pivotField showAll="0"/>
    <pivotField showAll="0">
      <items count="10">
        <item x="1"/>
        <item x="7"/>
        <item x="8"/>
        <item x="6"/>
        <item x="0"/>
        <item x="2"/>
        <item x="5"/>
        <item x="3"/>
        <item x="4"/>
        <item t="default"/>
      </items>
    </pivotField>
    <pivotField showAll="0"/>
  </pivotFields>
  <rowFields count="1">
    <field x="1"/>
  </rowFields>
  <rowItems count="6">
    <i>
      <x/>
    </i>
    <i>
      <x v="1"/>
    </i>
    <i>
      <x v="5"/>
    </i>
    <i>
      <x v="6"/>
    </i>
    <i>
      <x v="18"/>
    </i>
    <i>
      <x v="21"/>
    </i>
  </rowItems>
  <colFields count="1">
    <field x="-2"/>
  </colFields>
  <colItems count="2">
    <i>
      <x/>
    </i>
    <i i="1">
      <x v="1"/>
    </i>
  </colItems>
  <pageFields count="1">
    <pageField fld="2" item="2" hier="-1"/>
  </pageFields>
  <dataFields count="2">
    <dataField name="Sum of Avg_resol_time" fld="5" baseField="0" baseItem="0"/>
    <dataField name="Sum of no_of_cases" fld="3" baseField="1" baseItem="2"/>
  </dataFields>
  <chartFormats count="4">
    <chartFormat chart="2" format="0" series="1">
      <pivotArea type="data" outline="0" fieldPosition="0">
        <references count="1">
          <reference field="4294967294" count="1" selected="0">
            <x v="1"/>
          </reference>
        </references>
      </pivotArea>
    </chartFormat>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1"/>
          </reference>
          <reference field="1" count="1" selected="0">
            <x v="3"/>
          </reference>
        </references>
      </pivotArea>
    </chartFormat>
    <chartFormat chart="2" format="3">
      <pivotArea type="data" outline="0" fieldPosition="0">
        <references count="2">
          <reference field="4294967294" count="1" selected="0">
            <x v="0"/>
          </reference>
          <reference field="1" count="1" selected="0">
            <x v="2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A917979-1605-4BBE-ADB9-FE8F9EEFD662}" autoFormatId="16" applyNumberFormats="0" applyBorderFormats="0" applyFontFormats="0" applyPatternFormats="0" applyAlignmentFormats="0" applyWidthHeightFormats="0">
  <queryTableRefresh nextId="13">
    <queryTableFields count="9">
      <queryTableField id="1" name="PROBLEM_TYPE" tableColumnId="1"/>
      <queryTableField id="9" dataBound="0" tableColumnId="9"/>
      <queryTableField id="2" name="no_of_cases" tableColumnId="2"/>
      <queryTableField id="3" name="Avg_pending_calls" tableColumnId="3"/>
      <queryTableField id="4" name="Avg_resol_time" tableColumnId="4"/>
      <queryTableField id="5" name="recurrence_freq" tableColumnId="5"/>
      <queryTableField id="6" name="Replace_percent" tableColumnId="6"/>
      <queryTableField id="7" name="In_warranty_percent" tableColumnId="7"/>
      <queryTableField id="8" name="Post_warranty_percent"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37001F7B-6B9B-469F-B0C5-8D96A7E6353D}" sourceName="Category">
  <pivotTables>
    <pivotTable tabId="3" name="sum_avg_PT"/>
    <pivotTable tabId="3" name="warranty_PT"/>
  </pivotTables>
  <data>
    <tabular pivotCacheId="87637651">
      <items count="3">
        <i x="1"/>
        <i x="0"/>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DBD7E544-15EE-49F7-BCD7-905FCA6FF71B}" cache="Slicer_Category1" caption="Category" showCaption="0" style="SlicerStyleDark1 3" rowHeight="144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64C0A43-B923-4290-81DA-12CA1DDA6654}" name="technical_support_data" displayName="technical_support_data" ref="A1:I24" tableType="queryTable" totalsRowShown="0" headerRowDxfId="9">
  <autoFilter ref="A1:I24" xr:uid="{864C0A43-B923-4290-81DA-12CA1DDA6654}"/>
  <tableColumns count="9">
    <tableColumn id="1" xr3:uid="{7B8D61FE-22F4-49E2-BDD1-8B47200951CF}" uniqueName="1" name="PROBLEM_TYPE" queryTableFieldId="1" dataDxfId="8"/>
    <tableColumn id="9" xr3:uid="{40AAF86A-D8BB-42A7-A8B4-54F38CBE97F4}" uniqueName="9" name="Category" queryTableFieldId="9" dataDxfId="7"/>
    <tableColumn id="2" xr3:uid="{72415E2E-20A7-4041-A7A9-DB140E9EF047}" uniqueName="2" name="no_of_cases" queryTableFieldId="2" dataDxfId="6"/>
    <tableColumn id="3" xr3:uid="{6EE59193-D9ED-4F2D-94D3-478E44F75F16}" uniqueName="3" name="Avg_pending_calls" queryTableFieldId="3" dataDxfId="5"/>
    <tableColumn id="4" xr3:uid="{0A3A71D8-C33E-4AEB-B810-5AC76B189828}" uniqueName="4" name="Avg_resol_time" queryTableFieldId="4" dataDxfId="4"/>
    <tableColumn id="5" xr3:uid="{F8B6EC78-B958-4C7C-8424-AEF6828B0F5A}" uniqueName="5" name="recurrence_freq" queryTableFieldId="5" dataDxfId="3"/>
    <tableColumn id="6" xr3:uid="{66F703BB-AA90-42EF-A247-8CB6CF73FDF9}" uniqueName="6" name="Replace_percent" queryTableFieldId="6" dataDxfId="2"/>
    <tableColumn id="7" xr3:uid="{C908B321-EF2A-4E06-B289-225E06E857A2}" uniqueName="7" name="In_warranty_percent" queryTableFieldId="7" dataDxfId="1"/>
    <tableColumn id="8" xr3:uid="{1D0F571F-0A78-4F38-AB09-05FA06BC1F4E}" uniqueName="8" name="Post_warranty_percent" queryTableFieldId="8" dataDxfId="0"/>
  </tableColumns>
  <tableStyleInfo showFirstColumn="0" showLastColumn="0" showRowStripes="1" showColumnStripes="0"/>
</table>
</file>

<file path=xl/theme/theme1.xml><?xml version="1.0" encoding="utf-8"?>
<a:theme xmlns:a="http://schemas.openxmlformats.org/drawingml/2006/main" name="Office Theme">
  <a:themeElements>
    <a:clrScheme name="Blue Green">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microsoft.com/office/2007/relationships/slicer" Target="../slicers/slicer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13D4B-6AB6-40A0-B2DF-A10D503DCFDC}">
  <sheetPr codeName="Sheet1">
    <tabColor theme="3"/>
  </sheetPr>
  <dimension ref="A1:Q49"/>
  <sheetViews>
    <sheetView showGridLines="0" showRowColHeaders="0" tabSelected="1" topLeftCell="C1" zoomScale="130" zoomScaleNormal="130" workbookViewId="0">
      <selection activeCell="Q22" sqref="Q22"/>
    </sheetView>
  </sheetViews>
  <sheetFormatPr defaultColWidth="0" defaultRowHeight="14.4" zeroHeight="1" x14ac:dyDescent="0.3"/>
  <cols>
    <col min="1" max="2" width="2.109375" style="29" hidden="1" customWidth="1"/>
    <col min="3" max="3" width="2.6640625" style="29" customWidth="1"/>
    <col min="4" max="17" width="9.109375" style="29" customWidth="1"/>
    <col min="18" max="16384" width="9.109375" style="29" hidden="1"/>
  </cols>
  <sheetData>
    <row r="1" s="29" customFormat="1" x14ac:dyDescent="0.3"/>
    <row r="2" s="29" customFormat="1" x14ac:dyDescent="0.3"/>
    <row r="3" s="29" customFormat="1" x14ac:dyDescent="0.3"/>
    <row r="4" s="29" customFormat="1" x14ac:dyDescent="0.3"/>
    <row r="5" s="29" customFormat="1" x14ac:dyDescent="0.3"/>
    <row r="6" s="29" customFormat="1" x14ac:dyDescent="0.3"/>
    <row r="7" s="29" customFormat="1" x14ac:dyDescent="0.3"/>
    <row r="8" s="29" customFormat="1" x14ac:dyDescent="0.3"/>
    <row r="9" s="29" customFormat="1" x14ac:dyDescent="0.3"/>
    <row r="10" s="29" customFormat="1" x14ac:dyDescent="0.3"/>
    <row r="11" s="29" customFormat="1" x14ac:dyDescent="0.3"/>
    <row r="12" s="29" customFormat="1" x14ac:dyDescent="0.3"/>
    <row r="13" s="29" customFormat="1" x14ac:dyDescent="0.3"/>
    <row r="14" s="29" customFormat="1" x14ac:dyDescent="0.3"/>
    <row r="15" s="29" customFormat="1" x14ac:dyDescent="0.3"/>
    <row r="16" s="29" customFormat="1" x14ac:dyDescent="0.3"/>
    <row r="17" spans="6:6" x14ac:dyDescent="0.3"/>
    <row r="18" spans="6:6" x14ac:dyDescent="0.3"/>
    <row r="19" spans="6:6" x14ac:dyDescent="0.3"/>
    <row r="20" spans="6:6" x14ac:dyDescent="0.3"/>
    <row r="21" spans="6:6" x14ac:dyDescent="0.3"/>
    <row r="22" spans="6:6" x14ac:dyDescent="0.3"/>
    <row r="23" spans="6:6" x14ac:dyDescent="0.3">
      <c r="F23" s="30"/>
    </row>
    <row r="24" spans="6:6" x14ac:dyDescent="0.3"/>
    <row r="25" spans="6:6" x14ac:dyDescent="0.3"/>
    <row r="26" spans="6:6" x14ac:dyDescent="0.3"/>
    <row r="27" spans="6:6" x14ac:dyDescent="0.3"/>
    <row r="28" spans="6:6" x14ac:dyDescent="0.3"/>
    <row r="29" spans="6:6" x14ac:dyDescent="0.3"/>
    <row r="30" spans="6:6" x14ac:dyDescent="0.3"/>
    <row r="31" spans="6:6" x14ac:dyDescent="0.3"/>
    <row r="33" s="29" customFormat="1" hidden="1" x14ac:dyDescent="0.3"/>
    <row r="34" s="29" customFormat="1" hidden="1" x14ac:dyDescent="0.3"/>
    <row r="35" s="29" customFormat="1" hidden="1" x14ac:dyDescent="0.3"/>
    <row r="36" s="29" customFormat="1" hidden="1" x14ac:dyDescent="0.3"/>
    <row r="37" s="29" customFormat="1" hidden="1" x14ac:dyDescent="0.3"/>
    <row r="38" s="29" customFormat="1" hidden="1" x14ac:dyDescent="0.3"/>
    <row r="39" s="29" customFormat="1" hidden="1" x14ac:dyDescent="0.3"/>
    <row r="40" s="29" customFormat="1" hidden="1" x14ac:dyDescent="0.3"/>
    <row r="41" s="29" customFormat="1" hidden="1" x14ac:dyDescent="0.3"/>
    <row r="42" s="29" customFormat="1" hidden="1" x14ac:dyDescent="0.3"/>
    <row r="43" s="29" customFormat="1" hidden="1" x14ac:dyDescent="0.3"/>
    <row r="44" s="29" customFormat="1" hidden="1" x14ac:dyDescent="0.3"/>
    <row r="45" s="29" customFormat="1" hidden="1" x14ac:dyDescent="0.3"/>
    <row r="46" s="29" customFormat="1" hidden="1" x14ac:dyDescent="0.3"/>
    <row r="47" s="29" customFormat="1" hidden="1" x14ac:dyDescent="0.3"/>
    <row r="48" s="29" customFormat="1" hidden="1" x14ac:dyDescent="0.3"/>
    <row r="49" s="29" customFormat="1" hidden="1" x14ac:dyDescent="0.3"/>
  </sheetData>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locked="0" defaultSize="0" autoFill="0" autoLine="0" autoPict="0">
                <anchor moveWithCells="1">
                  <from>
                    <xdr:col>3</xdr:col>
                    <xdr:colOff>243840</xdr:colOff>
                    <xdr:row>24</xdr:row>
                    <xdr:rowOff>0</xdr:rowOff>
                  </from>
                  <to>
                    <xdr:col>5</xdr:col>
                    <xdr:colOff>251460</xdr:colOff>
                    <xdr:row>25</xdr:row>
                    <xdr:rowOff>129540</xdr:rowOff>
                  </to>
                </anchor>
              </controlPr>
            </control>
          </mc:Choice>
        </mc:AlternateContent>
        <mc:AlternateContent xmlns:mc="http://schemas.openxmlformats.org/markup-compatibility/2006">
          <mc:Choice Requires="x14">
            <control shapeId="1026" r:id="rId5" name="Option Button 2">
              <controlPr locked="0" defaultSize="0" autoFill="0" autoLine="0" autoPict="0">
                <anchor moveWithCells="1">
                  <from>
                    <xdr:col>3</xdr:col>
                    <xdr:colOff>243840</xdr:colOff>
                    <xdr:row>25</xdr:row>
                    <xdr:rowOff>91440</xdr:rowOff>
                  </from>
                  <to>
                    <xdr:col>5</xdr:col>
                    <xdr:colOff>243840</xdr:colOff>
                    <xdr:row>27</xdr:row>
                    <xdr:rowOff>53340</xdr:rowOff>
                  </to>
                </anchor>
              </controlPr>
            </control>
          </mc:Choice>
        </mc:AlternateContent>
        <mc:AlternateContent xmlns:mc="http://schemas.openxmlformats.org/markup-compatibility/2006">
          <mc:Choice Requires="x14">
            <control shapeId="1032" r:id="rId6" name="Option Button 8">
              <controlPr locked="0" defaultSize="0" autoFill="0" autoLine="0" autoPict="0">
                <anchor moveWithCells="1">
                  <from>
                    <xdr:col>9</xdr:col>
                    <xdr:colOff>266700</xdr:colOff>
                    <xdr:row>6</xdr:row>
                    <xdr:rowOff>0</xdr:rowOff>
                  </from>
                  <to>
                    <xdr:col>14</xdr:col>
                    <xdr:colOff>76200</xdr:colOff>
                    <xdr:row>7</xdr:row>
                    <xdr:rowOff>30480</xdr:rowOff>
                  </to>
                </anchor>
              </controlPr>
            </control>
          </mc:Choice>
        </mc:AlternateContent>
        <mc:AlternateContent xmlns:mc="http://schemas.openxmlformats.org/markup-compatibility/2006">
          <mc:Choice Requires="x14">
            <control shapeId="1033" r:id="rId7" name="Option Button 9">
              <controlPr locked="0" defaultSize="0" autoFill="0" autoLine="0" autoPict="0">
                <anchor moveWithCells="1">
                  <from>
                    <xdr:col>9</xdr:col>
                    <xdr:colOff>266700</xdr:colOff>
                    <xdr:row>7</xdr:row>
                    <xdr:rowOff>76200</xdr:rowOff>
                  </from>
                  <to>
                    <xdr:col>13</xdr:col>
                    <xdr:colOff>381000</xdr:colOff>
                    <xdr:row>8</xdr:row>
                    <xdr:rowOff>99060</xdr:rowOff>
                  </to>
                </anchor>
              </controlPr>
            </control>
          </mc:Choice>
        </mc:AlternateContent>
        <mc:AlternateContent xmlns:mc="http://schemas.openxmlformats.org/markup-compatibility/2006">
          <mc:Choice Requires="x14">
            <control shapeId="1035" r:id="rId8" name="Group Box 11">
              <controlPr defaultSize="0" autoFill="0" autoPict="0">
                <anchor moveWithCells="1">
                  <from>
                    <xdr:col>9</xdr:col>
                    <xdr:colOff>266700</xdr:colOff>
                    <xdr:row>5</xdr:row>
                    <xdr:rowOff>152400</xdr:rowOff>
                  </from>
                  <to>
                    <xdr:col>14</xdr:col>
                    <xdr:colOff>99060</xdr:colOff>
                    <xdr:row>8</xdr:row>
                    <xdr:rowOff>114300</xdr:rowOff>
                  </to>
                </anchor>
              </controlPr>
            </control>
          </mc:Choice>
        </mc:AlternateContent>
        <mc:AlternateContent xmlns:mc="http://schemas.openxmlformats.org/markup-compatibility/2006">
          <mc:Choice Requires="x14">
            <control shapeId="1036" r:id="rId9" name="Group Box 12">
              <controlPr locked="0" defaultSize="0" autoFill="0" autoPict="0">
                <anchor moveWithCells="1">
                  <from>
                    <xdr:col>3</xdr:col>
                    <xdr:colOff>243840</xdr:colOff>
                    <xdr:row>23</xdr:row>
                    <xdr:rowOff>129540</xdr:rowOff>
                  </from>
                  <to>
                    <xdr:col>5</xdr:col>
                    <xdr:colOff>304800</xdr:colOff>
                    <xdr:row>29</xdr:row>
                    <xdr:rowOff>0</xdr:rowOff>
                  </to>
                </anchor>
              </controlPr>
            </control>
          </mc:Choice>
        </mc:AlternateContent>
        <mc:AlternateContent xmlns:mc="http://schemas.openxmlformats.org/markup-compatibility/2006">
          <mc:Choice Requires="x14">
            <control shapeId="1056" r:id="rId10" name="Option Button 32">
              <controlPr locked="0" defaultSize="0" autoFill="0" autoLine="0" autoPict="0">
                <anchor moveWithCells="1">
                  <from>
                    <xdr:col>3</xdr:col>
                    <xdr:colOff>243840</xdr:colOff>
                    <xdr:row>27</xdr:row>
                    <xdr:rowOff>45720</xdr:rowOff>
                  </from>
                  <to>
                    <xdr:col>5</xdr:col>
                    <xdr:colOff>129540</xdr:colOff>
                    <xdr:row>28</xdr:row>
                    <xdr:rowOff>76200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8FAC3-2145-498C-961F-98DCF39F55DB}">
  <sheetPr codeName="Sheet2"/>
  <dimension ref="A1:I24"/>
  <sheetViews>
    <sheetView workbookViewId="0">
      <selection activeCell="B14" sqref="B14"/>
    </sheetView>
  </sheetViews>
  <sheetFormatPr defaultRowHeight="14.4" x14ac:dyDescent="0.3"/>
  <cols>
    <col min="1" max="1" width="38.44140625" bestFit="1" customWidth="1"/>
    <col min="2" max="2" width="11.109375" bestFit="1" customWidth="1"/>
    <col min="3" max="3" width="14.109375" bestFit="1" customWidth="1"/>
    <col min="4" max="4" width="20" bestFit="1" customWidth="1"/>
    <col min="5" max="5" width="17.33203125" bestFit="1" customWidth="1"/>
    <col min="6" max="6" width="17.6640625" bestFit="1" customWidth="1"/>
    <col min="7" max="7" width="18.33203125" bestFit="1" customWidth="1"/>
    <col min="8" max="8" width="22" bestFit="1" customWidth="1"/>
    <col min="9" max="9" width="24.33203125" bestFit="1" customWidth="1"/>
    <col min="10" max="10" width="23.5546875" bestFit="1" customWidth="1"/>
  </cols>
  <sheetData>
    <row r="1" spans="1:9" x14ac:dyDescent="0.3">
      <c r="A1" s="14" t="s">
        <v>0</v>
      </c>
      <c r="B1" s="14" t="s">
        <v>34</v>
      </c>
      <c r="C1" s="14" t="s">
        <v>1</v>
      </c>
      <c r="D1" s="14" t="s">
        <v>2</v>
      </c>
      <c r="E1" s="14" t="s">
        <v>3</v>
      </c>
      <c r="F1" s="14" t="s">
        <v>4</v>
      </c>
      <c r="G1" s="14" t="s">
        <v>5</v>
      </c>
      <c r="H1" s="14" t="s">
        <v>6</v>
      </c>
      <c r="I1" s="14" t="s">
        <v>7</v>
      </c>
    </row>
    <row r="2" spans="1:9" x14ac:dyDescent="0.3">
      <c r="A2" s="1" t="s">
        <v>8</v>
      </c>
      <c r="B2" s="1" t="s">
        <v>35</v>
      </c>
      <c r="C2" s="12">
        <v>170</v>
      </c>
      <c r="D2" s="11">
        <v>1.3</v>
      </c>
      <c r="E2" s="12">
        <v>32</v>
      </c>
      <c r="F2" s="11">
        <v>0.04</v>
      </c>
      <c r="G2" s="11" t="s">
        <v>9</v>
      </c>
      <c r="H2" s="12">
        <v>75</v>
      </c>
      <c r="I2" s="12">
        <v>25</v>
      </c>
    </row>
    <row r="3" spans="1:9" x14ac:dyDescent="0.3">
      <c r="A3" s="1" t="s">
        <v>62</v>
      </c>
      <c r="B3" s="1" t="s">
        <v>35</v>
      </c>
      <c r="C3" s="12">
        <v>12</v>
      </c>
      <c r="D3" s="11" t="s">
        <v>10</v>
      </c>
      <c r="E3" s="12">
        <v>150</v>
      </c>
      <c r="F3" s="11">
        <v>0.01</v>
      </c>
      <c r="G3" s="11">
        <v>0.5</v>
      </c>
      <c r="H3" s="12">
        <v>5</v>
      </c>
      <c r="I3" s="12">
        <v>95</v>
      </c>
    </row>
    <row r="4" spans="1:9" x14ac:dyDescent="0.3">
      <c r="A4" s="1" t="s">
        <v>11</v>
      </c>
      <c r="B4" s="1" t="s">
        <v>35</v>
      </c>
      <c r="C4" s="12">
        <v>5</v>
      </c>
      <c r="D4" s="11" t="s">
        <v>12</v>
      </c>
      <c r="E4" s="12">
        <v>35</v>
      </c>
      <c r="F4" s="11">
        <v>0.02</v>
      </c>
      <c r="G4" s="11">
        <v>0.2</v>
      </c>
      <c r="H4" s="12">
        <v>90</v>
      </c>
      <c r="I4" s="12">
        <v>10</v>
      </c>
    </row>
    <row r="5" spans="1:9" x14ac:dyDescent="0.3">
      <c r="A5" s="1" t="s">
        <v>13</v>
      </c>
      <c r="B5" s="1" t="s">
        <v>35</v>
      </c>
      <c r="C5" s="12">
        <v>3</v>
      </c>
      <c r="D5" s="11" t="s">
        <v>10</v>
      </c>
      <c r="E5" s="12">
        <v>8</v>
      </c>
      <c r="F5" s="11">
        <v>0.01</v>
      </c>
      <c r="G5" s="11">
        <v>0.7</v>
      </c>
      <c r="H5" s="12">
        <v>5</v>
      </c>
      <c r="I5" s="12">
        <v>95</v>
      </c>
    </row>
    <row r="6" spans="1:9" x14ac:dyDescent="0.3">
      <c r="A6" s="1" t="s">
        <v>14</v>
      </c>
      <c r="B6" s="1" t="s">
        <v>36</v>
      </c>
      <c r="C6" s="12">
        <v>45</v>
      </c>
      <c r="D6" s="11">
        <v>2.2999999999999998</v>
      </c>
      <c r="E6" s="12">
        <v>54</v>
      </c>
      <c r="F6" s="11">
        <v>0.15</v>
      </c>
      <c r="G6" s="11" t="s">
        <v>9</v>
      </c>
      <c r="H6" s="12">
        <v>99</v>
      </c>
      <c r="I6" s="12">
        <v>1</v>
      </c>
    </row>
    <row r="7" spans="1:9" x14ac:dyDescent="0.3">
      <c r="A7" s="1" t="s">
        <v>15</v>
      </c>
      <c r="B7" s="1" t="s">
        <v>35</v>
      </c>
      <c r="C7" s="12">
        <v>47</v>
      </c>
      <c r="D7" s="11">
        <v>3.1</v>
      </c>
      <c r="E7" s="12">
        <v>132</v>
      </c>
      <c r="F7" s="11">
        <v>0.3</v>
      </c>
      <c r="G7" s="11">
        <v>0.03</v>
      </c>
      <c r="H7" s="12">
        <v>100</v>
      </c>
      <c r="I7" s="12">
        <v>0</v>
      </c>
    </row>
    <row r="8" spans="1:9" x14ac:dyDescent="0.3">
      <c r="A8" s="1" t="s">
        <v>16</v>
      </c>
      <c r="B8" s="1" t="s">
        <v>36</v>
      </c>
      <c r="C8" s="12">
        <v>12</v>
      </c>
      <c r="D8" s="11" t="s">
        <v>17</v>
      </c>
      <c r="E8" s="12">
        <v>154</v>
      </c>
      <c r="F8" s="11">
        <v>0.02</v>
      </c>
      <c r="G8" s="11">
        <v>0.05</v>
      </c>
      <c r="H8" s="12">
        <v>100</v>
      </c>
      <c r="I8" s="12">
        <v>0</v>
      </c>
    </row>
    <row r="9" spans="1:9" x14ac:dyDescent="0.3">
      <c r="A9" s="1" t="s">
        <v>18</v>
      </c>
      <c r="B9" s="1" t="s">
        <v>36</v>
      </c>
      <c r="C9" s="12">
        <v>165</v>
      </c>
      <c r="D9" s="11">
        <v>1.2</v>
      </c>
      <c r="E9" s="12">
        <v>32</v>
      </c>
      <c r="F9" s="11">
        <v>0.03</v>
      </c>
      <c r="G9" s="11" t="s">
        <v>9</v>
      </c>
      <c r="H9" s="12">
        <v>95</v>
      </c>
      <c r="I9" s="12">
        <v>5</v>
      </c>
    </row>
    <row r="10" spans="1:9" x14ac:dyDescent="0.3">
      <c r="A10" s="1" t="s">
        <v>19</v>
      </c>
      <c r="B10" s="1" t="s">
        <v>36</v>
      </c>
      <c r="C10" s="12">
        <v>321</v>
      </c>
      <c r="D10" s="11" t="s">
        <v>12</v>
      </c>
      <c r="E10" s="12">
        <v>5</v>
      </c>
      <c r="F10" s="11">
        <v>0.21</v>
      </c>
      <c r="G10" s="11" t="s">
        <v>9</v>
      </c>
      <c r="H10" s="12">
        <v>60</v>
      </c>
      <c r="I10" s="12">
        <v>40</v>
      </c>
    </row>
    <row r="11" spans="1:9" x14ac:dyDescent="0.3">
      <c r="A11" s="1" t="s">
        <v>20</v>
      </c>
      <c r="B11" s="1" t="s">
        <v>36</v>
      </c>
      <c r="C11" s="12">
        <v>22</v>
      </c>
      <c r="D11" s="11">
        <v>3.3</v>
      </c>
      <c r="E11" s="12">
        <v>140</v>
      </c>
      <c r="F11" s="11">
        <v>0.14000000000000001</v>
      </c>
      <c r="G11" s="11">
        <v>0.01</v>
      </c>
      <c r="H11" s="12">
        <v>95</v>
      </c>
      <c r="I11" s="12">
        <v>5</v>
      </c>
    </row>
    <row r="12" spans="1:9" x14ac:dyDescent="0.3">
      <c r="A12" s="1" t="s">
        <v>21</v>
      </c>
      <c r="B12" s="1" t="s">
        <v>36</v>
      </c>
      <c r="C12" s="12">
        <v>23</v>
      </c>
      <c r="D12" s="11">
        <v>4.3</v>
      </c>
      <c r="E12" s="12">
        <v>143</v>
      </c>
      <c r="F12" s="11">
        <v>0.21</v>
      </c>
      <c r="G12" s="11">
        <v>0.06</v>
      </c>
      <c r="H12" s="12">
        <v>100</v>
      </c>
      <c r="I12" s="12">
        <v>0</v>
      </c>
    </row>
    <row r="13" spans="1:9" x14ac:dyDescent="0.3">
      <c r="A13" s="1" t="s">
        <v>22</v>
      </c>
      <c r="B13" s="1" t="s">
        <v>36</v>
      </c>
      <c r="C13" s="12">
        <v>230</v>
      </c>
      <c r="D13" s="11">
        <v>1.3</v>
      </c>
      <c r="E13" s="12">
        <v>23</v>
      </c>
      <c r="F13" s="11">
        <v>0.02</v>
      </c>
      <c r="G13" s="11" t="s">
        <v>9</v>
      </c>
      <c r="H13" s="12">
        <v>10</v>
      </c>
      <c r="I13" s="12">
        <v>90</v>
      </c>
    </row>
    <row r="14" spans="1:9" x14ac:dyDescent="0.3">
      <c r="A14" s="1" t="s">
        <v>23</v>
      </c>
      <c r="B14" s="1" t="s">
        <v>37</v>
      </c>
      <c r="C14" s="12">
        <v>193</v>
      </c>
      <c r="D14" s="11">
        <v>1.2</v>
      </c>
      <c r="E14" s="12">
        <v>33</v>
      </c>
      <c r="F14" s="11">
        <v>0.03</v>
      </c>
      <c r="G14" s="11" t="s">
        <v>9</v>
      </c>
      <c r="H14" s="12">
        <v>100</v>
      </c>
      <c r="I14" s="12">
        <v>0</v>
      </c>
    </row>
    <row r="15" spans="1:9" x14ac:dyDescent="0.3">
      <c r="A15" s="1" t="s">
        <v>24</v>
      </c>
      <c r="B15" s="1" t="s">
        <v>37</v>
      </c>
      <c r="C15" s="12">
        <v>24</v>
      </c>
      <c r="D15" s="11">
        <v>2.8</v>
      </c>
      <c r="E15" s="12">
        <v>180</v>
      </c>
      <c r="F15" s="11">
        <v>0.04</v>
      </c>
      <c r="G15" s="11" t="s">
        <v>9</v>
      </c>
      <c r="H15" s="12">
        <v>100</v>
      </c>
      <c r="I15" s="12">
        <v>0</v>
      </c>
    </row>
    <row r="16" spans="1:9" x14ac:dyDescent="0.3">
      <c r="A16" s="1" t="s">
        <v>25</v>
      </c>
      <c r="B16" s="1" t="s">
        <v>37</v>
      </c>
      <c r="C16" s="12">
        <v>450</v>
      </c>
      <c r="D16" s="11" t="s">
        <v>12</v>
      </c>
      <c r="E16" s="12">
        <v>8</v>
      </c>
      <c r="F16" s="11">
        <v>0.25</v>
      </c>
      <c r="G16" s="11" t="s">
        <v>9</v>
      </c>
      <c r="H16" s="12">
        <v>100</v>
      </c>
      <c r="I16" s="12">
        <v>0</v>
      </c>
    </row>
    <row r="17" spans="1:9" x14ac:dyDescent="0.3">
      <c r="A17" s="1" t="s">
        <v>26</v>
      </c>
      <c r="B17" s="1" t="s">
        <v>37</v>
      </c>
      <c r="C17" s="12">
        <v>520</v>
      </c>
      <c r="D17" s="11" t="s">
        <v>12</v>
      </c>
      <c r="E17" s="12">
        <v>7</v>
      </c>
      <c r="F17" s="11">
        <v>0.28000000000000003</v>
      </c>
      <c r="G17" s="11" t="s">
        <v>9</v>
      </c>
      <c r="H17" s="12">
        <v>100</v>
      </c>
      <c r="I17" s="12">
        <v>0</v>
      </c>
    </row>
    <row r="18" spans="1:9" x14ac:dyDescent="0.3">
      <c r="A18" s="1" t="s">
        <v>27</v>
      </c>
      <c r="B18" s="1" t="s">
        <v>35</v>
      </c>
      <c r="C18" s="12">
        <v>390</v>
      </c>
      <c r="D18" s="11" t="s">
        <v>12</v>
      </c>
      <c r="E18" s="12">
        <v>9</v>
      </c>
      <c r="F18" s="11">
        <v>0.27</v>
      </c>
      <c r="G18" s="11" t="s">
        <v>9</v>
      </c>
      <c r="H18" s="12">
        <v>5</v>
      </c>
      <c r="I18" s="12">
        <v>95</v>
      </c>
    </row>
    <row r="19" spans="1:9" x14ac:dyDescent="0.3">
      <c r="A19" s="1" t="s">
        <v>28</v>
      </c>
      <c r="B19" s="1" t="s">
        <v>35</v>
      </c>
      <c r="C19" s="12">
        <v>140</v>
      </c>
      <c r="D19" s="11">
        <v>1.7</v>
      </c>
      <c r="E19" s="12">
        <v>23</v>
      </c>
      <c r="F19" s="11">
        <v>0.05</v>
      </c>
      <c r="G19" s="11">
        <v>0.04</v>
      </c>
      <c r="H19" s="12">
        <v>60</v>
      </c>
      <c r="I19" s="12">
        <v>40</v>
      </c>
    </row>
    <row r="20" spans="1:9" x14ac:dyDescent="0.3">
      <c r="A20" s="1" t="s">
        <v>29</v>
      </c>
      <c r="B20" s="1" t="s">
        <v>35</v>
      </c>
      <c r="C20" s="12">
        <v>72</v>
      </c>
      <c r="D20" s="11">
        <v>2.2999999999999998</v>
      </c>
      <c r="E20" s="12">
        <v>125</v>
      </c>
      <c r="F20" s="11">
        <v>0.02</v>
      </c>
      <c r="G20" s="11" t="s">
        <v>9</v>
      </c>
      <c r="H20" s="12">
        <v>100</v>
      </c>
      <c r="I20" s="12">
        <v>0</v>
      </c>
    </row>
    <row r="21" spans="1:9" x14ac:dyDescent="0.3">
      <c r="A21" s="1" t="s">
        <v>30</v>
      </c>
      <c r="B21" s="1" t="s">
        <v>35</v>
      </c>
      <c r="C21" s="12">
        <v>290</v>
      </c>
      <c r="D21" s="11">
        <v>1.1000000000000001</v>
      </c>
      <c r="E21" s="12">
        <v>11</v>
      </c>
      <c r="F21" s="11">
        <v>0.22</v>
      </c>
      <c r="G21" s="11" t="s">
        <v>9</v>
      </c>
      <c r="H21" s="12">
        <v>90</v>
      </c>
      <c r="I21" s="12">
        <v>10</v>
      </c>
    </row>
    <row r="22" spans="1:9" x14ac:dyDescent="0.3">
      <c r="A22" s="1" t="s">
        <v>31</v>
      </c>
      <c r="B22" s="1" t="s">
        <v>37</v>
      </c>
      <c r="C22" s="12">
        <v>29</v>
      </c>
      <c r="D22" s="11">
        <v>2.2000000000000002</v>
      </c>
      <c r="E22" s="12">
        <v>45</v>
      </c>
      <c r="F22" s="11">
        <v>0.35</v>
      </c>
      <c r="G22" s="11">
        <v>0.22</v>
      </c>
      <c r="H22" s="12">
        <v>50</v>
      </c>
      <c r="I22" s="12">
        <v>50</v>
      </c>
    </row>
    <row r="23" spans="1:9" x14ac:dyDescent="0.3">
      <c r="A23" s="1" t="s">
        <v>32</v>
      </c>
      <c r="B23" s="1" t="s">
        <v>37</v>
      </c>
      <c r="C23" s="12">
        <v>43</v>
      </c>
      <c r="D23" s="11">
        <v>2.1</v>
      </c>
      <c r="E23" s="12">
        <v>56</v>
      </c>
      <c r="F23" s="11">
        <v>0.31</v>
      </c>
      <c r="G23" s="11">
        <v>0.28000000000000003</v>
      </c>
      <c r="H23" s="12">
        <v>60</v>
      </c>
      <c r="I23" s="12">
        <v>40</v>
      </c>
    </row>
    <row r="24" spans="1:9" x14ac:dyDescent="0.3">
      <c r="A24" s="1" t="s">
        <v>33</v>
      </c>
      <c r="B24" s="1" t="s">
        <v>35</v>
      </c>
      <c r="C24" s="12">
        <v>78</v>
      </c>
      <c r="D24" s="11">
        <v>2.2000000000000002</v>
      </c>
      <c r="E24" s="12">
        <v>44</v>
      </c>
      <c r="F24" s="11">
        <v>0.19</v>
      </c>
      <c r="G24" s="11">
        <v>0.21</v>
      </c>
      <c r="H24" s="12">
        <v>10</v>
      </c>
      <c r="I24" s="12">
        <v>90</v>
      </c>
    </row>
  </sheetData>
  <pageMargins left="0.7" right="0.7" top="0.75" bottom="0.75" header="0.3" footer="0.3"/>
  <pageSetup paperSize="9"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29FE2-4B14-41E2-B52F-F73DDAB0E042}">
  <sheetPr codeName="Sheet3"/>
  <dimension ref="A1:Q55"/>
  <sheetViews>
    <sheetView zoomScale="85" zoomScaleNormal="85" workbookViewId="0">
      <selection activeCell="E55" sqref="E55"/>
    </sheetView>
  </sheetViews>
  <sheetFormatPr defaultRowHeight="14.4" x14ac:dyDescent="0.3"/>
  <cols>
    <col min="1" max="1" width="38.88671875" bestFit="1" customWidth="1"/>
    <col min="2" max="2" width="25.5546875" bestFit="1" customWidth="1"/>
    <col min="3" max="3" width="27.5546875" bestFit="1" customWidth="1"/>
    <col min="4" max="4" width="100.6640625" customWidth="1"/>
    <col min="5" max="5" width="9.109375" customWidth="1"/>
    <col min="6" max="6" width="9.44140625" customWidth="1"/>
    <col min="7" max="7" width="27.88671875" bestFit="1" customWidth="1"/>
    <col min="8" max="8" width="15.5546875" bestFit="1" customWidth="1"/>
    <col min="9" max="9" width="16.44140625" bestFit="1" customWidth="1"/>
    <col min="10" max="10" width="16" bestFit="1" customWidth="1"/>
    <col min="11" max="11" width="19.109375" bestFit="1" customWidth="1"/>
    <col min="12" max="12" width="15.44140625" bestFit="1" customWidth="1"/>
    <col min="13" max="13" width="18.5546875" customWidth="1"/>
    <col min="14" max="14" width="20.6640625" bestFit="1" customWidth="1"/>
    <col min="15" max="15" width="16" bestFit="1" customWidth="1"/>
    <col min="16" max="23" width="38.44140625" bestFit="1" customWidth="1"/>
    <col min="24" max="24" width="11.33203125" bestFit="1" customWidth="1"/>
    <col min="25" max="27" width="6.6640625" bestFit="1" customWidth="1"/>
    <col min="28" max="28" width="11.33203125" bestFit="1" customWidth="1"/>
  </cols>
  <sheetData>
    <row r="1" spans="1:17" x14ac:dyDescent="0.3">
      <c r="P1" s="13"/>
    </row>
    <row r="2" spans="1:17" x14ac:dyDescent="0.3">
      <c r="A2" s="2" t="s">
        <v>58</v>
      </c>
      <c r="B2" s="2"/>
      <c r="C2" s="2"/>
      <c r="G2" s="19" t="s">
        <v>39</v>
      </c>
      <c r="H2" s="19"/>
      <c r="I2" s="19"/>
      <c r="J2" s="19"/>
      <c r="K2" s="19"/>
      <c r="L2" s="19"/>
      <c r="M2" s="19"/>
      <c r="N2" s="19"/>
      <c r="O2" s="19"/>
      <c r="P2" s="13"/>
    </row>
    <row r="3" spans="1:17" x14ac:dyDescent="0.3">
      <c r="H3" s="6" t="s">
        <v>40</v>
      </c>
      <c r="I3" s="6" t="s">
        <v>41</v>
      </c>
      <c r="J3" s="6" t="s">
        <v>43</v>
      </c>
      <c r="K3" s="6" t="s">
        <v>42</v>
      </c>
      <c r="L3" s="6" t="s">
        <v>44</v>
      </c>
      <c r="M3" s="6" t="s">
        <v>45</v>
      </c>
      <c r="N3" s="6" t="s">
        <v>46</v>
      </c>
      <c r="O3" s="6" t="s">
        <v>48</v>
      </c>
      <c r="P3" s="13"/>
    </row>
    <row r="4" spans="1:17" ht="15" thickBot="1" x14ac:dyDescent="0.35">
      <c r="A4" s="14" t="s">
        <v>59</v>
      </c>
      <c r="B4" s="31">
        <v>1</v>
      </c>
      <c r="G4" s="23" t="s">
        <v>47</v>
      </c>
      <c r="H4" s="24">
        <f>SUM(technical_support_data[no_of_cases])</f>
        <v>3284</v>
      </c>
      <c r="I4" s="25">
        <f>AVERAGE(technical_support_data[Avg_pending_calls])</f>
        <v>2.1600000000000006</v>
      </c>
      <c r="J4" s="26">
        <f>AVERAGE(technical_support_data[Avg_resol_time])</f>
        <v>63</v>
      </c>
      <c r="K4" s="27">
        <f>AVERAGE(technical_support_data[recurrence_freq])</f>
        <v>0.13782608695652177</v>
      </c>
      <c r="L4" s="27">
        <f>AVERAGE(technical_support_data[Replace_percent])</f>
        <v>0.20909090909090908</v>
      </c>
      <c r="M4" s="26">
        <f>AVERAGE(technical_support_data[In_warranty_percent])</f>
        <v>69.956521739130437</v>
      </c>
      <c r="N4" s="26">
        <f>AVERAGE(technical_support_data[Post_warranty_percent])</f>
        <v>30.043478260869566</v>
      </c>
      <c r="O4" s="28">
        <f>H4*J4</f>
        <v>206892</v>
      </c>
      <c r="P4" s="13"/>
      <c r="Q4" s="5"/>
    </row>
    <row r="5" spans="1:17" x14ac:dyDescent="0.3">
      <c r="A5" s="32" t="str">
        <f>IF($B$4=1,"TotalCases_chart","Warranty_chart")</f>
        <v>TotalCases_chart</v>
      </c>
      <c r="G5" s="13"/>
      <c r="H5" s="13"/>
      <c r="I5" s="16"/>
      <c r="J5" s="17"/>
      <c r="K5" s="18"/>
      <c r="L5" s="13"/>
      <c r="M5" s="17"/>
      <c r="N5" s="17"/>
      <c r="O5" s="17"/>
      <c r="P5" s="13"/>
      <c r="Q5" s="5"/>
    </row>
    <row r="6" spans="1:17" x14ac:dyDescent="0.3">
      <c r="G6" s="13"/>
      <c r="H6" s="13"/>
      <c r="I6" s="16"/>
      <c r="J6" s="17"/>
      <c r="K6" s="18"/>
      <c r="L6" s="13"/>
      <c r="M6" s="17"/>
      <c r="N6" s="17"/>
      <c r="O6" s="17"/>
      <c r="P6" s="13"/>
      <c r="Q6" s="5"/>
    </row>
    <row r="7" spans="1:17" x14ac:dyDescent="0.3">
      <c r="G7" s="19" t="s">
        <v>50</v>
      </c>
      <c r="H7" s="19"/>
      <c r="I7" s="19"/>
      <c r="J7" s="19"/>
      <c r="K7" s="19"/>
      <c r="L7" s="19"/>
      <c r="M7" s="19"/>
      <c r="N7" s="19"/>
      <c r="O7" s="19"/>
      <c r="P7" s="13"/>
      <c r="Q7" s="5"/>
    </row>
    <row r="8" spans="1:17" x14ac:dyDescent="0.3">
      <c r="H8" s="21" t="str">
        <f>INDEX(A11:A13,C11)</f>
        <v>recurrence_cases</v>
      </c>
      <c r="I8" s="22" t="s">
        <v>1</v>
      </c>
      <c r="J8" s="22" t="s">
        <v>3</v>
      </c>
      <c r="K8" s="22" t="s">
        <v>4</v>
      </c>
      <c r="L8" s="22" t="s">
        <v>60</v>
      </c>
      <c r="M8" s="13"/>
      <c r="N8" s="13"/>
      <c r="O8" s="13"/>
      <c r="P8" s="13"/>
      <c r="Q8" s="10"/>
    </row>
    <row r="9" spans="1:17" x14ac:dyDescent="0.3">
      <c r="A9" s="2" t="s">
        <v>49</v>
      </c>
      <c r="G9" t="s">
        <v>36</v>
      </c>
      <c r="H9" s="8">
        <f>_xlfn.IFS($H$8=$A$11,I9,$H$8=$A$12,J9,$H$8=$A$13,L9)</f>
        <v>91.148571428571429</v>
      </c>
      <c r="I9" s="7">
        <f>SUMIF(technical_support_data[Category],$G9,technical_support_data[no_of_cases])</f>
        <v>818</v>
      </c>
      <c r="J9" s="8">
        <f>AVERAGEIF(technical_support_data[Category],$G9,technical_support_data[Avg_resol_time])</f>
        <v>78.714285714285708</v>
      </c>
      <c r="K9" s="9">
        <f>AVERAGEIF(technical_support_data[Category],$G9,technical_support_data[recurrence_freq])</f>
        <v>0.11142857142857143</v>
      </c>
      <c r="L9" s="8">
        <f>I9*K9</f>
        <v>91.148571428571429</v>
      </c>
      <c r="M9" s="13"/>
      <c r="N9" s="13"/>
      <c r="O9" s="13"/>
    </row>
    <row r="10" spans="1:17" x14ac:dyDescent="0.3">
      <c r="A10" s="14" t="s">
        <v>53</v>
      </c>
      <c r="B10" s="14" t="s">
        <v>52</v>
      </c>
      <c r="C10" s="14" t="s">
        <v>51</v>
      </c>
      <c r="G10" t="s">
        <v>35</v>
      </c>
      <c r="H10" s="8">
        <f>_xlfn.IFS($H$8=$A$11,I10,$H$8=$A$12,J10,$H$8=$A$13,L10)</f>
        <v>136.39100000000002</v>
      </c>
      <c r="I10" s="7">
        <f>SUMIF(technical_support_data[Category],$G10,technical_support_data[no_of_cases])</f>
        <v>1207</v>
      </c>
      <c r="J10" s="8">
        <f>AVERAGEIF(technical_support_data[Category],$G10,technical_support_data[Avg_resol_time])</f>
        <v>56.9</v>
      </c>
      <c r="K10" s="9">
        <f>AVERAGEIF(technical_support_data[Category],$G10,technical_support_data[recurrence_freq])</f>
        <v>0.11300000000000002</v>
      </c>
      <c r="L10" s="8">
        <f t="shared" ref="L10:L11" si="0">I10*K10</f>
        <v>136.39100000000002</v>
      </c>
      <c r="M10" s="13"/>
      <c r="N10" s="13"/>
      <c r="O10" s="13"/>
    </row>
    <row r="11" spans="1:17" ht="15" thickBot="1" x14ac:dyDescent="0.35">
      <c r="A11" s="15" t="s">
        <v>1</v>
      </c>
      <c r="B11" s="13">
        <v>1</v>
      </c>
      <c r="C11" s="32">
        <v>3</v>
      </c>
      <c r="G11" s="23" t="s">
        <v>37</v>
      </c>
      <c r="H11" s="8">
        <f>_xlfn.IFS($H$8=$A$11,I11,$H$8=$A$12,J11,$H$8=$A$13,L11)</f>
        <v>264.39</v>
      </c>
      <c r="I11" s="24">
        <f>SUMIF(technical_support_data[Category],$G11,technical_support_data[no_of_cases])</f>
        <v>1259</v>
      </c>
      <c r="J11" s="26">
        <f>AVERAGEIF(technical_support_data[Category],$G11,technical_support_data[Avg_resol_time])</f>
        <v>54.833333333333336</v>
      </c>
      <c r="K11" s="27">
        <f>AVERAGEIF(technical_support_data[Category],$G11,technical_support_data[recurrence_freq])</f>
        <v>0.21</v>
      </c>
      <c r="L11" s="26">
        <f t="shared" si="0"/>
        <v>264.39</v>
      </c>
      <c r="M11" s="13"/>
      <c r="N11" s="13"/>
      <c r="O11" s="13"/>
    </row>
    <row r="12" spans="1:17" x14ac:dyDescent="0.3">
      <c r="A12" s="15" t="s">
        <v>3</v>
      </c>
      <c r="B12" s="13">
        <v>2</v>
      </c>
      <c r="L12" s="4"/>
      <c r="M12" s="13"/>
      <c r="N12" s="13"/>
      <c r="O12" s="13"/>
    </row>
    <row r="13" spans="1:17" x14ac:dyDescent="0.3">
      <c r="A13" s="15" t="s">
        <v>61</v>
      </c>
      <c r="B13" s="13">
        <v>3</v>
      </c>
      <c r="G13" s="13"/>
      <c r="H13" s="13"/>
      <c r="I13" s="13"/>
      <c r="J13" s="13"/>
      <c r="K13" s="13"/>
      <c r="L13" s="13"/>
      <c r="M13" s="13"/>
      <c r="N13" s="13"/>
      <c r="O13" s="13"/>
    </row>
    <row r="17" spans="1:3" x14ac:dyDescent="0.3">
      <c r="A17" s="3" t="s">
        <v>34</v>
      </c>
      <c r="B17" t="s">
        <v>37</v>
      </c>
    </row>
    <row r="19" spans="1:3" x14ac:dyDescent="0.3">
      <c r="A19" s="3" t="s">
        <v>38</v>
      </c>
      <c r="B19" t="s">
        <v>55</v>
      </c>
      <c r="C19" t="s">
        <v>54</v>
      </c>
    </row>
    <row r="20" spans="1:3" x14ac:dyDescent="0.3">
      <c r="A20" s="20" t="s">
        <v>23</v>
      </c>
      <c r="B20" s="1">
        <v>33</v>
      </c>
      <c r="C20" s="1">
        <v>193</v>
      </c>
    </row>
    <row r="21" spans="1:3" x14ac:dyDescent="0.3">
      <c r="A21" s="20" t="s">
        <v>24</v>
      </c>
      <c r="B21" s="1">
        <v>180</v>
      </c>
      <c r="C21" s="1">
        <v>24</v>
      </c>
    </row>
    <row r="22" spans="1:3" x14ac:dyDescent="0.3">
      <c r="A22" s="20" t="s">
        <v>31</v>
      </c>
      <c r="B22" s="1">
        <v>45</v>
      </c>
      <c r="C22" s="1">
        <v>29</v>
      </c>
    </row>
    <row r="23" spans="1:3" x14ac:dyDescent="0.3">
      <c r="A23" s="20" t="s">
        <v>32</v>
      </c>
      <c r="B23" s="1">
        <v>56</v>
      </c>
      <c r="C23" s="1">
        <v>43</v>
      </c>
    </row>
    <row r="24" spans="1:3" x14ac:dyDescent="0.3">
      <c r="A24" s="20" t="s">
        <v>25</v>
      </c>
      <c r="B24" s="1">
        <v>8</v>
      </c>
      <c r="C24" s="1">
        <v>450</v>
      </c>
    </row>
    <row r="25" spans="1:3" x14ac:dyDescent="0.3">
      <c r="A25" s="20" t="s">
        <v>26</v>
      </c>
      <c r="B25" s="1">
        <v>7</v>
      </c>
      <c r="C25" s="1">
        <v>520</v>
      </c>
    </row>
    <row r="34" spans="1:4" ht="300" customHeight="1" x14ac:dyDescent="0.3">
      <c r="D34" s="29"/>
    </row>
    <row r="36" spans="1:4" ht="16.5" customHeight="1" x14ac:dyDescent="0.3"/>
    <row r="37" spans="1:4" x14ac:dyDescent="0.3">
      <c r="A37" s="3" t="s">
        <v>34</v>
      </c>
      <c r="B37" t="s">
        <v>37</v>
      </c>
    </row>
    <row r="39" spans="1:4" x14ac:dyDescent="0.3">
      <c r="A39" s="3" t="s">
        <v>38</v>
      </c>
      <c r="B39" t="s">
        <v>56</v>
      </c>
      <c r="C39" t="s">
        <v>57</v>
      </c>
    </row>
    <row r="40" spans="1:4" x14ac:dyDescent="0.3">
      <c r="A40" s="20" t="s">
        <v>23</v>
      </c>
      <c r="B40" s="1">
        <v>100</v>
      </c>
      <c r="C40" s="1">
        <v>0</v>
      </c>
    </row>
    <row r="41" spans="1:4" x14ac:dyDescent="0.3">
      <c r="A41" s="20" t="s">
        <v>24</v>
      </c>
      <c r="B41" s="1">
        <v>100</v>
      </c>
      <c r="C41" s="1">
        <v>0</v>
      </c>
    </row>
    <row r="42" spans="1:4" x14ac:dyDescent="0.3">
      <c r="A42" s="20" t="s">
        <v>31</v>
      </c>
      <c r="B42" s="1">
        <v>50</v>
      </c>
      <c r="C42" s="1">
        <v>50</v>
      </c>
    </row>
    <row r="43" spans="1:4" x14ac:dyDescent="0.3">
      <c r="A43" s="20" t="s">
        <v>32</v>
      </c>
      <c r="B43" s="1">
        <v>60</v>
      </c>
      <c r="C43" s="1">
        <v>40</v>
      </c>
    </row>
    <row r="44" spans="1:4" x14ac:dyDescent="0.3">
      <c r="A44" s="20" t="s">
        <v>25</v>
      </c>
      <c r="B44" s="1">
        <v>100</v>
      </c>
      <c r="C44" s="1">
        <v>0</v>
      </c>
    </row>
    <row r="45" spans="1:4" x14ac:dyDescent="0.3">
      <c r="A45" s="20" t="s">
        <v>26</v>
      </c>
      <c r="B45" s="1">
        <v>100</v>
      </c>
      <c r="C45" s="1">
        <v>0</v>
      </c>
    </row>
    <row r="55" ht="300" customHeight="1" x14ac:dyDescent="0.3"/>
  </sheetData>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A2B4B94-4B43-48D8-BE2C-59D7B3E1637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Dashboard</vt:lpstr>
      <vt:lpstr>RawData</vt:lpstr>
      <vt:lpstr>Calculation</vt:lpstr>
      <vt:lpstr>TotalCases_chart</vt:lpstr>
      <vt:lpstr>Warranty_chart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danny dronek</dc:creator>
  <cp:lastModifiedBy>danny dronek</cp:lastModifiedBy>
  <cp:lastPrinted>2021-08-14T10:04:38Z</cp:lastPrinted>
  <dcterms:created xsi:type="dcterms:W3CDTF">2021-07-27T16:53:18Z</dcterms:created>
  <dcterms:modified xsi:type="dcterms:W3CDTF">2021-08-14T10:05:18Z</dcterms:modified>
</cp:coreProperties>
</file>